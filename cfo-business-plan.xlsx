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Relationships>
</file>

<file path=xl/workbook.xml><?xml version="1.0" encoding="utf-8"?>
<workbook xmlns="http://schemas.openxmlformats.org/spreadsheetml/2006/main" xmlns:r="http://schemas.openxmlformats.org/officeDocument/2006/relationships">
  <workbookPr date1904="0"/>
  <sheets>
    <sheet name="Pricing and editable planning i" sheetId="1" r:id="rId1"/>
    <sheet name="Year 1 totals and 45-cafe break" sheetId="2" r:id="rId2"/>
    <sheet name="Monthly revenue and check costs" sheetId="3" r:id="rId3"/>
    <sheet name="Runway and operating profit" sheetId="4" r:id="rId4"/>
    <sheet name="Year 1 scenario comparison" sheetId="5" r:id="rId5"/>
    <sheet name="Model inputs" sheetId="6" r:id="rId6"/>
  </sheets>
  <calcPr calcMode="auto" fullCalcOnLoad="1" forceFullCalc="1"/>
</workbook>
</file>

<file path=xl/styles.xml><?xml version="1.0" encoding="utf-8"?>
<styleSheet xmlns="http://schemas.openxmlformats.org/spreadsheetml/2006/main">
  <numFmts count="5">
    <numFmt numFmtId="164" formatCode="#,##0.###;(#,##0.###)"/>
    <numFmt numFmtId="165" formatCode="&quot;INR &quot;#,##0;(&quot;INR &quot;#,##0)"/>
    <numFmt numFmtId="166" formatCode="&quot;INR &quot;#,##0.00;(&quot;INR &quot;#,##0.00)"/>
    <numFmt numFmtId="167" formatCode="0.0%"/>
    <numFmt numFmtId="168" formatCode="#,##0.0;(#,##0.0)"/>
  </numFmts>
  <fonts count="5">
    <font>
      <sz val="10"/>
      <color rgb="FF352F29"/>
      <name val="Aptos"/>
    </font>
    <font>
      <b/>
      <sz val="16"/>
      <color rgb="FFFFFFFF"/>
      <name val="Aptos"/>
    </font>
    <font>
      <sz val="9"/>
      <color rgb="FF817B73"/>
      <name val="Aptos"/>
    </font>
    <font>
      <b/>
      <sz val="10"/>
      <color rgb="FF352F29"/>
      <name val="Aptos"/>
    </font>
    <font>
      <sz val="10"/>
      <color rgb="FF817B73"/>
      <name val="Aptos"/>
    </font>
  </fonts>
  <fills count="7">
    <fill>
      <patternFill patternType="none"/>
    </fill>
    <fill>
      <patternFill patternType="gray125"/>
    </fill>
    <fill>
      <patternFill patternType="solid">
        <fgColor rgb="FF352F29"/>
        <bgColor indexed="64"/>
      </patternFill>
    </fill>
    <fill>
      <patternFill patternType="solid">
        <fgColor rgb="FFF0EDE8"/>
        <bgColor indexed="64"/>
      </patternFill>
    </fill>
    <fill>
      <patternFill patternType="solid">
        <fgColor rgb="FFF5F2EC"/>
        <bgColor indexed="64"/>
      </patternFill>
    </fill>
    <fill>
      <patternFill patternType="solid">
        <fgColor rgb="FFE6E0D7"/>
        <bgColor indexed="64"/>
      </patternFill>
    </fill>
    <fill>
      <patternFill patternType="solid">
        <fgColor rgb="FFF7F9FC"/>
        <bgColor indexed="64"/>
      </patternFill>
    </fill>
  </fills>
  <borders count="2">
    <border>
      <left/>
      <right/>
      <top/>
      <bottom/>
      <diagonal/>
    </border>
    <border>
      <left/>
      <right/>
      <top/>
      <bottom style="thin">
        <color rgb="FFE7E3DD"/>
      </bottom>
      <diagonal/>
    </border>
  </borders>
  <cellStyleXfs count="1">
    <xf numFmtId="0" fontId="0" fillId="0" borderId="0"/>
  </cellStyleXfs>
  <cellXfs count="20">
    <xf numFmtId="0" fontId="0" fillId="0" borderId="0" xfId="0"/>
    <xf numFmtId="0" fontId="1" fillId="2" borderId="0" xfId="0" applyFill="1" applyFont="1" applyAlignment="1">
      <alignment vertical="center" horizontal="left" indent="1"/>
    </xf>
    <xf numFmtId="0" fontId="2" fillId="0" borderId="0" xfId="0" applyFont="1"/>
    <xf numFmtId="0" fontId="3" fillId="3" borderId="1" xfId="0" applyFill="1" applyFont="1" applyBorder="1" applyAlignment="1">
      <alignment vertical="center" horizontal="left"/>
    </xf>
    <xf numFmtId="0" fontId="3" fillId="3" borderId="1" xfId="0" applyFill="1" applyFont="1" applyBorder="1" applyAlignment="1">
      <alignment vertical="center" horizontal="right"/>
    </xf>
    <xf numFmtId="0" fontId="3" fillId="4" borderId="1" xfId="0" applyFill="1" applyFont="1" applyBorder="1" applyAlignment="1">
      <alignment vertical="center" horizontal="left"/>
    </xf>
    <xf numFmtId="164" fontId="3" fillId="4" borderId="1" xfId="0" applyNumberFormat="1" applyFill="1" applyFont="1" applyBorder="1" applyAlignment="1">
      <alignment vertical="center" horizontal="right"/>
    </xf>
    <xf numFmtId="0" fontId="0" fillId="0" borderId="0" xfId="0" applyAlignment="1">
      <alignment vertical="center" horizontal="left"/>
    </xf>
    <xf numFmtId="165" fontId="0" fillId="0" borderId="0" xfId="0" applyNumberFormat="1" applyAlignment="1">
      <alignment vertical="center" horizontal="right"/>
    </xf>
    <xf numFmtId="166" fontId="0" fillId="0" borderId="0" xfId="0" applyNumberFormat="1" applyAlignment="1">
      <alignment vertical="center" horizontal="right"/>
    </xf>
    <xf numFmtId="164" fontId="0" fillId="0" borderId="0" xfId="0" applyNumberFormat="1" applyAlignment="1">
      <alignment vertical="center" horizontal="right"/>
    </xf>
    <xf numFmtId="165" fontId="3" fillId="4" borderId="1" xfId="0" applyNumberFormat="1" applyFill="1" applyFont="1" applyBorder="1" applyAlignment="1">
      <alignment vertical="center" horizontal="right"/>
    </xf>
    <xf numFmtId="167" fontId="0" fillId="0" borderId="0" xfId="0" applyNumberFormat="1" applyAlignment="1">
      <alignment vertical="center" horizontal="right"/>
    </xf>
    <xf numFmtId="0" fontId="3" fillId="5" borderId="1" xfId="0" applyFill="1" applyFont="1" applyBorder="1" applyAlignment="1">
      <alignment vertical="center" horizontal="right"/>
    </xf>
    <xf numFmtId="0" fontId="0" fillId="0" borderId="0" xfId="0" applyAlignment="1">
      <alignment vertical="center" horizontal="left" indent="1"/>
    </xf>
    <xf numFmtId="168" fontId="3" fillId="4" borderId="1" xfId="0" applyNumberFormat="1" applyFill="1" applyFont="1" applyBorder="1" applyAlignment="1">
      <alignment vertical="center" horizontal="right"/>
    </xf>
    <xf numFmtId="0" fontId="3" fillId="4" borderId="1" xfId="0" applyFill="1" applyFont="1" applyBorder="1"/>
    <xf numFmtId="0" fontId="3" fillId="6" borderId="0" xfId="0" applyFill="1" applyFont="1" applyAlignment="1">
      <alignment vertical="center" horizontal="left"/>
    </xf>
    <xf numFmtId="0" fontId="0" fillId="6" borderId="0" xfId="0" applyFill="1" applyAlignment="1">
      <alignment vertical="center" horizontal="left" indent="1"/>
    </xf>
    <xf numFmtId="0" fontId="4" fillId="0" borderId="0" xfId="0" applyFont="1" applyAlignment="1">
      <alignment vertical="center" horizontal="left"/>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worksheet" Target="worksheets/sheet4.xml"></Relationship><Relationship Id="rId5" Type="http://schemas.openxmlformats.org/officeDocument/2006/relationships/worksheet" Target="worksheets/sheet5.xml"></Relationship><Relationship Id="rId6" Type="http://schemas.openxmlformats.org/officeDocument/2006/relationships/worksheet" Target="worksheets/sheet6.xml"></Relationship><Relationship Id="rId7" Type="http://schemas.openxmlformats.org/officeDocument/2006/relationships/styles" Target="styles.xml"></Relationship></Relationships>
</file>

<file path=xl/worksheets/sheet1.xml><?xml version="1.0" encoding="utf-8"?>
<worksheet xmlns="http://schemas.openxmlformats.org/spreadsheetml/2006/main">
  <dimension ref="A1:B17"/>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Pricing and editable planning inputs</t>
        </is>
      </c>
    </row>
    <row r="2" ht="20" customHeight="1">
      <c r="A2" t="inlineStr" s="2">
        <is>
          <t xml:space="preserve">NaukriShield — Business Plan · Main Scenario</t>
        </is>
      </c>
    </row>
    <row r="4" ht="22" customHeight="1">
      <c r="A4" t="inlineStr" s="3">
        <is>
          <t xml:space="preserve">Variable / dimension</t>
        </is>
      </c>
      <c r="B4" t="inlineStr" s="4">
        <is>
          <t xml:space="preserve">Value</t>
        </is>
      </c>
    </row>
    <row r="5">
      <c r="A5" t="inlineStr" s="5">
        <is>
          <t xml:space="preserve">Student monthly free allowance</t>
        </is>
      </c>
      <c r="B5" s="6">
        <f>3</f>
        <v>3</v>
      </c>
    </row>
    <row r="6">
      <c r="A6" t="inlineStr" s="7">
        <is>
          <t xml:space="preserve">Cafe monthly price</t>
        </is>
      </c>
      <c r="B6" s="8">
        <f>499</f>
        <v>499</v>
      </c>
    </row>
    <row r="7">
      <c r="A7" t="inlineStr" s="7">
        <is>
          <t xml:space="preserve">API check price</t>
        </is>
      </c>
      <c r="B7" s="8">
        <f>49</f>
        <v>49</v>
      </c>
    </row>
    <row r="8">
      <c r="A8" t="inlineStr" s="7">
        <is>
          <t xml:space="preserve">Haiku cost per check</t>
        </is>
      </c>
      <c r="B8" s="9">
        <f>0.75</f>
        <v>0.75</v>
      </c>
    </row>
    <row r="9">
      <c r="A9" t="inlineStr" s="7">
        <is>
          <t xml:space="preserve">Cached data cost per check</t>
        </is>
      </c>
      <c r="B9" s="9">
        <f>1.5</f>
        <v>1.5</v>
      </c>
    </row>
    <row r="10">
      <c r="A10" t="inlineStr" s="7">
        <is>
          <t xml:space="preserve">Cost per check</t>
        </is>
      </c>
      <c r="B10" s="9">
        <f>'Pricing and editable planning i'!B8+'Pricing and editable planning i'!B9</f>
        <v>2.25</v>
      </c>
    </row>
    <row r="11">
      <c r="A11" t="inlineStr" s="7">
        <is>
          <t xml:space="preserve">Paying cafes</t>
        </is>
      </c>
      <c r="B11" s="10">
        <f>200</f>
        <v>200</v>
      </c>
    </row>
    <row r="12">
      <c r="A12" t="inlineStr" s="7">
        <is>
          <t xml:space="preserve">Year 1 API checks</t>
        </is>
      </c>
      <c r="B12" s="10">
        <f>30000</f>
        <v>30000</v>
      </c>
    </row>
    <row r="13">
      <c r="A13" t="inlineStr" s="7">
        <is>
          <t xml:space="preserve">Checks per cafe per month</t>
        </is>
      </c>
      <c r="B13" s="10">
        <f>10</f>
        <v>10</v>
      </c>
    </row>
    <row r="14">
      <c r="A14" t="inlineStr" s="7">
        <is>
          <t xml:space="preserve">Active free students</t>
        </is>
      </c>
      <c r="B14" s="10">
        <f>1000</f>
        <v>1000</v>
      </c>
    </row>
    <row r="15">
      <c r="A15" t="inlineStr" s="7">
        <is>
          <t xml:space="preserve">Checks per free student per month</t>
        </is>
      </c>
      <c r="B15" s="10">
        <f>3</f>
        <v>3</v>
      </c>
    </row>
    <row r="16">
      <c r="A16" t="inlineStr" s="7">
        <is>
          <t xml:space="preserve">Monthly non-check overhead</t>
        </is>
      </c>
      <c r="B16" s="9">
        <f>14692.5</f>
        <v>14692.5</v>
      </c>
    </row>
    <row r="17">
      <c r="A17" t="inlineStr" s="5">
        <is>
          <t xml:space="preserve">Opening cash assumption</t>
        </is>
      </c>
      <c r="B17" s="11">
        <f>300000</f>
        <v>300000</v>
      </c>
    </row>
  </sheetData>
  <mergeCells count="1">
    <mergeCell ref="A1:B1"/>
  </mergeCells>
</worksheet>
</file>

<file path=xl/worksheets/sheet2.xml><?xml version="1.0" encoding="utf-8"?>
<worksheet xmlns="http://schemas.openxmlformats.org/spreadsheetml/2006/main">
  <dimension ref="A1:B15"/>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Year 1 totals and 45-cafe break-even</t>
        </is>
      </c>
    </row>
    <row r="2" ht="20" customHeight="1">
      <c r="A2" t="inlineStr" s="2">
        <is>
          <t xml:space="preserve">NaukriShield — Business Plan · Main Scenario</t>
        </is>
      </c>
    </row>
    <row r="4" ht="22" customHeight="1">
      <c r="A4" t="inlineStr" s="3">
        <is>
          <t xml:space="preserve">Variable / dimension</t>
        </is>
      </c>
      <c r="B4" t="inlineStr" s="4">
        <is>
          <t xml:space="preserve">Value</t>
        </is>
      </c>
    </row>
    <row r="5">
      <c r="A5" t="inlineStr" s="5">
        <is>
          <t xml:space="preserve">NS Year 1 revenue</t>
        </is>
      </c>
      <c r="B5" s="11">
        <f>SUM('Monthly revenue and check costs'!B5,'Monthly revenue and check costs'!C5,'Monthly revenue and check costs'!D5,'Monthly revenue and check costs'!E5,'Monthly revenue and check costs'!F5,'Monthly revenue and check costs'!G5,'Monthly revenue and check costs'!H5,'Monthly revenue and check costs'!I5,'Monthly revenue and check costs'!J5,'Monthly revenue and check costs'!K5,'Monthly revenue and check costs'!L5,'Monthly revenue and check costs'!M5)</f>
        <v>2667600</v>
      </c>
    </row>
    <row r="6">
      <c r="A6" t="inlineStr" s="7">
        <is>
          <t xml:space="preserve">NS Year 1 check costs</t>
        </is>
      </c>
      <c r="B6" s="8">
        <f>SUM('Monthly revenue and check costs'!B13,'Monthly revenue and check costs'!C13,'Monthly revenue and check costs'!D13,'Monthly revenue and check costs'!E13,'Monthly revenue and check costs'!F13,'Monthly revenue and check costs'!G13,'Monthly revenue and check costs'!H13,'Monthly revenue and check costs'!I13,'Monthly revenue and check costs'!J13,'Monthly revenue and check costs'!K13,'Monthly revenue and check costs'!L13,'Monthly revenue and check costs'!M13)</f>
        <v>202500</v>
      </c>
    </row>
    <row r="7">
      <c r="A7" t="inlineStr" s="7">
        <is>
          <t xml:space="preserve">NS Year 1 gross margin</t>
        </is>
      </c>
      <c r="B7" s="12">
        <f>IFERROR(('Year 1 totals and 45-cafe break'!B5-'Year 1 totals and 45-cafe break'!B6)/'Year 1 totals and 45-cafe break'!B5,"")</f>
        <v>0.9240890688259109</v>
      </c>
    </row>
    <row r="8">
      <c r="A8" t="inlineStr" s="7">
        <is>
          <t xml:space="preserve">NS Year 1 operating profit</t>
        </is>
      </c>
      <c r="B8" s="8">
        <f>SUM('Runway and operating profit'!B10,'Runway and operating profit'!C10,'Runway and operating profit'!D10,'Runway and operating profit'!E10,'Runway and operating profit'!F10,'Runway and operating profit'!G10,'Runway and operating profit'!H10,'Runway and operating profit'!I10,'Runway and operating profit'!J10,'Runway and operating profit'!K10,'Runway and operating profit'!L10,'Runway and operating profit'!M10)</f>
        <v>2288790</v>
      </c>
    </row>
    <row r="9">
      <c r="A9" t="inlineStr" s="7">
        <is>
          <t xml:space="preserve">NS cafe contribution</t>
        </is>
      </c>
      <c r="B9" s="9">
        <f>'Pricing and editable planning i'!B6-'Pricing and editable planning i'!B13*'Pricing and editable planning i'!B10</f>
        <v>476.5</v>
      </c>
    </row>
    <row r="10">
      <c r="A10" t="inlineStr" s="7">
        <is>
          <t xml:space="preserve">NS free monthly subsidy</t>
        </is>
      </c>
      <c r="B10" s="8">
        <f>'Pricing and editable planning i'!B14*MIN('Pricing and editable planning i'!B15,'Pricing and editable planning i'!B5)*'Pricing and editable planning i'!B10</f>
        <v>6750</v>
      </c>
    </row>
    <row r="11">
      <c r="A11" t="inlineStr" s="7">
        <is>
          <t xml:space="preserve">NS cafe-only break-even count</t>
        </is>
      </c>
      <c r="B11" s="10">
        <f>IF(IF(IF(ISERROR('Year 1 totals and 45-cafe break'!B9&gt;0),'Year 1 totals and 45-cafe break'!B9&gt;0,IF('Year 1 totals and 45-cafe break'!B9="","",'Year 1 totals and 45-cafe break'!B9&gt;0))="",FALSE,IF(ISERROR('Year 1 totals and 45-cafe break'!B9&gt;0),'Year 1 totals and 45-cafe break'!B9&gt;0,IF('Year 1 totals and 45-cafe break'!B9="","",'Year 1 totals and 45-cafe break'!B9&gt;0))),CEILING(('Pricing and editable planning i'!B16+'Year 1 totals and 45-cafe break'!B10)/'Year 1 totals and 45-cafe break'!B9,1),"")</f>
        <v>45</v>
      </c>
    </row>
    <row r="12">
      <c r="A12" t="inlineStr" s="7">
        <is>
          <t xml:space="preserve">NS break-even count with API</t>
        </is>
      </c>
      <c r="B12" s="10">
        <f>IF(IF(IF(ISERROR('Year 1 totals and 45-cafe break'!B9&gt;0),'Year 1 totals and 45-cafe break'!B9&gt;0,IF('Year 1 totals and 45-cafe break'!B9="","",'Year 1 totals and 45-cafe break'!B9&gt;0))="",FALSE,IF(ISERROR('Year 1 totals and 45-cafe break'!B9&gt;0),'Year 1 totals and 45-cafe break'!B9&gt;0,IF('Year 1 totals and 45-cafe break'!B9="","",'Year 1 totals and 45-cafe break'!B9&gt;0))),CEILING(MAX(0,'Pricing and editable planning i'!B16+'Year 1 totals and 45-cafe break'!B10-'Pricing and editable planning i'!B12/12*('Pricing and editable planning i'!B7-'Pricing and editable planning i'!B10))/'Year 1 totals and 45-cafe break'!B9,1),"")</f>
        <v>0</v>
      </c>
    </row>
    <row r="13">
      <c r="A13" t="inlineStr" s="7">
        <is>
          <t xml:space="preserve">NS 45-cafe profit without API</t>
        </is>
      </c>
      <c r="B13" s="9">
        <f>45*'Year 1 totals and 45-cafe break'!B9-'Year 1 totals and 45-cafe break'!B10-'Pricing and editable planning i'!B16</f>
        <v>0</v>
      </c>
    </row>
    <row r="14">
      <c r="A14" t="inlineStr" s="7">
        <is>
          <t xml:space="preserve">NS cafe check-cost-only limit</t>
        </is>
      </c>
      <c r="B14" s="10">
        <f>'Pricing and editable planning i'!B6/'Pricing and editable planning i'!B10</f>
        <v>221.77777777777777</v>
      </c>
    </row>
    <row r="15">
      <c r="A15" t="inlineStr" s="5">
        <is>
          <t xml:space="preserve">NS starting cash runway months</t>
        </is>
      </c>
      <c r="B15" t="str" s="6">
        <f>IF(IF(IF(ISERROR('Year 1 totals and 45-cafe break'!B8&lt;0),'Year 1 totals and 45-cafe break'!B8&lt;0,IF('Year 1 totals and 45-cafe break'!B8="","",'Year 1 totals and 45-cafe break'!B8&lt;0))="",FALSE,IF(ISERROR('Year 1 totals and 45-cafe break'!B8&lt;0),'Year 1 totals and 45-cafe break'!B8&lt;0,IF('Year 1 totals and 45-cafe break'!B8="","",'Year 1 totals and 45-cafe break'!B8&lt;0))),'Pricing and editable planning i'!B17/(-'Year 1 totals and 45-cafe break'!B8/12),"")</f>
        <v/>
      </c>
    </row>
  </sheetData>
  <mergeCells count="1">
    <mergeCell ref="A1:B1"/>
  </mergeCells>
</worksheet>
</file>

<file path=xl/worksheets/sheet3.xml><?xml version="1.0" encoding="utf-8"?>
<worksheet xmlns="http://schemas.openxmlformats.org/spreadsheetml/2006/main">
  <dimension ref="A1:M16"/>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32" customHeight="1">
      <c r="A1" t="inlineStr" s="1">
        <is>
          <t xml:space="preserve">Monthly revenue and check costs</t>
        </is>
      </c>
    </row>
    <row r="2" ht="20" customHeight="1">
      <c r="A2" t="inlineStr" s="2">
        <is>
          <t xml:space="preserve">NaukriShield — Business Plan · Main Scenario</t>
        </is>
      </c>
    </row>
    <row r="4" ht="22" customHeight="1">
      <c r="A4" t="inlineStr" s="3">
        <is>
          <t xml:space="preserve">Variable / dimension</t>
        </is>
      </c>
      <c r="B4" t="inlineStr" s="4">
        <is>
          <t xml:space="preserve">2026-11</t>
        </is>
      </c>
      <c r="C4" t="inlineStr" s="4">
        <is>
          <t xml:space="preserve">2026-12</t>
        </is>
      </c>
      <c r="D4" t="inlineStr" s="13">
        <is>
          <t xml:space="preserve">2027-01</t>
        </is>
      </c>
      <c r="E4" t="inlineStr" s="4">
        <is>
          <t xml:space="preserve">2027-02</t>
        </is>
      </c>
      <c r="F4" t="inlineStr" s="4">
        <is>
          <t xml:space="preserve">2027-03</t>
        </is>
      </c>
      <c r="G4" t="inlineStr" s="13">
        <is>
          <t xml:space="preserve">2027-04</t>
        </is>
      </c>
      <c r="H4" t="inlineStr" s="4">
        <is>
          <t xml:space="preserve">2027-05</t>
        </is>
      </c>
      <c r="I4" t="inlineStr" s="4">
        <is>
          <t xml:space="preserve">2027-06</t>
        </is>
      </c>
      <c r="J4" t="inlineStr" s="13">
        <is>
          <t xml:space="preserve">2027-07</t>
        </is>
      </c>
      <c r="K4" t="inlineStr" s="4">
        <is>
          <t xml:space="preserve">2027-08</t>
        </is>
      </c>
      <c r="L4" t="inlineStr" s="4">
        <is>
          <t xml:space="preserve">2027-09</t>
        </is>
      </c>
      <c r="M4" t="inlineStr" s="13">
        <is>
          <t xml:space="preserve">2027-10</t>
        </is>
      </c>
    </row>
    <row r="5">
      <c r="A5" t="inlineStr" s="5">
        <is>
          <t xml:space="preserve">NS revenue</t>
        </is>
      </c>
      <c r="B5" s="11">
        <f>SUM('Monthly revenue and check costs'!B6,'Monthly revenue and check costs'!B7,'Monthly revenue and check costs'!B8)</f>
        <v>222300</v>
      </c>
      <c r="C5" s="11">
        <f>SUM('Monthly revenue and check costs'!C6,'Monthly revenue and check costs'!C7,'Monthly revenue and check costs'!C8)</f>
        <v>222300</v>
      </c>
      <c r="D5" s="11">
        <f>SUM('Monthly revenue and check costs'!D6,'Monthly revenue and check costs'!D7,'Monthly revenue and check costs'!D8)</f>
        <v>222300</v>
      </c>
      <c r="E5" s="11">
        <f>SUM('Monthly revenue and check costs'!E6,'Monthly revenue and check costs'!E7,'Monthly revenue and check costs'!E8)</f>
        <v>222300</v>
      </c>
      <c r="F5" s="11">
        <f>SUM('Monthly revenue and check costs'!F6,'Monthly revenue and check costs'!F7,'Monthly revenue and check costs'!F8)</f>
        <v>222300</v>
      </c>
      <c r="G5" s="11">
        <f>SUM('Monthly revenue and check costs'!G6,'Monthly revenue and check costs'!G7,'Monthly revenue and check costs'!G8)</f>
        <v>222300</v>
      </c>
      <c r="H5" s="11">
        <f>SUM('Monthly revenue and check costs'!H6,'Monthly revenue and check costs'!H7,'Monthly revenue and check costs'!H8)</f>
        <v>222300</v>
      </c>
      <c r="I5" s="11">
        <f>SUM('Monthly revenue and check costs'!I6,'Monthly revenue and check costs'!I7,'Monthly revenue and check costs'!I8)</f>
        <v>222300</v>
      </c>
      <c r="J5" s="11">
        <f>SUM('Monthly revenue and check costs'!J6,'Monthly revenue and check costs'!J7,'Monthly revenue and check costs'!J8)</f>
        <v>222300</v>
      </c>
      <c r="K5" s="11">
        <f>SUM('Monthly revenue and check costs'!K6,'Monthly revenue and check costs'!K7,'Monthly revenue and check costs'!K8)</f>
        <v>222300</v>
      </c>
      <c r="L5" s="11">
        <f>SUM('Monthly revenue and check costs'!L6,'Monthly revenue and check costs'!L7,'Monthly revenue and check costs'!L8)</f>
        <v>222300</v>
      </c>
      <c r="M5" s="11">
        <f>SUM('Monthly revenue and check costs'!M6,'Monthly revenue and check costs'!M7,'Monthly revenue and check costs'!M8)</f>
        <v>222300</v>
      </c>
    </row>
    <row r="6" outlineLevel="1">
      <c r="A6" t="inlineStr" s="14">
        <is>
          <t xml:space="preserve">API</t>
        </is>
      </c>
      <c r="B6" s="8">
        <f>IF(EXACT("API","Cyber-cafes"),'Pricing and editable planning i'!B11*'Pricing and editable planning i'!B6,IF(EXACT("API","API"),'Pricing and editable planning i'!B12/12*'Pricing and editable planning i'!B7,0))</f>
        <v>122500</v>
      </c>
      <c r="C6" s="8">
        <f>IF(EXACT("API","Cyber-cafes"),'Pricing and editable planning i'!B11*'Pricing and editable planning i'!B6,IF(EXACT("API","API"),'Pricing and editable planning i'!B12/12*'Pricing and editable planning i'!B7,0))</f>
        <v>122500</v>
      </c>
      <c r="D6" s="8">
        <f>IF(EXACT("API","Cyber-cafes"),'Pricing and editable planning i'!B11*'Pricing and editable planning i'!B6,IF(EXACT("API","API"),'Pricing and editable planning i'!B12/12*'Pricing and editable planning i'!B7,0))</f>
        <v>122500</v>
      </c>
      <c r="E6" s="8">
        <f>IF(EXACT("API","Cyber-cafes"),'Pricing and editable planning i'!B11*'Pricing and editable planning i'!B6,IF(EXACT("API","API"),'Pricing and editable planning i'!B12/12*'Pricing and editable planning i'!B7,0))</f>
        <v>122500</v>
      </c>
      <c r="F6" s="8">
        <f>IF(EXACT("API","Cyber-cafes"),'Pricing and editable planning i'!B11*'Pricing and editable planning i'!B6,IF(EXACT("API","API"),'Pricing and editable planning i'!B12/12*'Pricing and editable planning i'!B7,0))</f>
        <v>122500</v>
      </c>
      <c r="G6" s="8">
        <f>IF(EXACT("API","Cyber-cafes"),'Pricing and editable planning i'!B11*'Pricing and editable planning i'!B6,IF(EXACT("API","API"),'Pricing and editable planning i'!B12/12*'Pricing and editable planning i'!B7,0))</f>
        <v>122500</v>
      </c>
      <c r="H6" s="8">
        <f>IF(EXACT("API","Cyber-cafes"),'Pricing and editable planning i'!B11*'Pricing and editable planning i'!B6,IF(EXACT("API","API"),'Pricing and editable planning i'!B12/12*'Pricing and editable planning i'!B7,0))</f>
        <v>122500</v>
      </c>
      <c r="I6" s="8">
        <f>IF(EXACT("API","Cyber-cafes"),'Pricing and editable planning i'!B11*'Pricing and editable planning i'!B6,IF(EXACT("API","API"),'Pricing and editable planning i'!B12/12*'Pricing and editable planning i'!B7,0))</f>
        <v>122500</v>
      </c>
      <c r="J6" s="8">
        <f>IF(EXACT("API","Cyber-cafes"),'Pricing and editable planning i'!B11*'Pricing and editable planning i'!B6,IF(EXACT("API","API"),'Pricing and editable planning i'!B12/12*'Pricing and editable planning i'!B7,0))</f>
        <v>122500</v>
      </c>
      <c r="K6" s="8">
        <f>IF(EXACT("API","Cyber-cafes"),'Pricing and editable planning i'!B11*'Pricing and editable planning i'!B6,IF(EXACT("API","API"),'Pricing and editable planning i'!B12/12*'Pricing and editable planning i'!B7,0))</f>
        <v>122500</v>
      </c>
      <c r="L6" s="8">
        <f>IF(EXACT("API","Cyber-cafes"),'Pricing and editable planning i'!B11*'Pricing and editable planning i'!B6,IF(EXACT("API","API"),'Pricing and editable planning i'!B12/12*'Pricing and editable planning i'!B7,0))</f>
        <v>122500</v>
      </c>
      <c r="M6" s="8">
        <f>IF(EXACT("API","Cyber-cafes"),'Pricing and editable planning i'!B11*'Pricing and editable planning i'!B6,IF(EXACT("API","API"),'Pricing and editable planning i'!B12/12*'Pricing and editable planning i'!B7,0))</f>
        <v>122500</v>
      </c>
    </row>
    <row r="7" outlineLevel="1">
      <c r="A7" t="inlineStr" s="14">
        <is>
          <t xml:space="preserve">Cyber-cafes</t>
        </is>
      </c>
      <c r="B7" s="8">
        <f>IF(EXACT("Cyber-cafes","Cyber-cafes"),'Pricing and editable planning i'!B11*'Pricing and editable planning i'!B6,IF(EXACT("Cyber-cafes","API"),'Pricing and editable planning i'!B12/12*'Pricing and editable planning i'!B7,0))</f>
        <v>99800</v>
      </c>
      <c r="C7" s="8">
        <f>IF(EXACT("Cyber-cafes","Cyber-cafes"),'Pricing and editable planning i'!B11*'Pricing and editable planning i'!B6,IF(EXACT("Cyber-cafes","API"),'Pricing and editable planning i'!B12/12*'Pricing and editable planning i'!B7,0))</f>
        <v>99800</v>
      </c>
      <c r="D7" s="8">
        <f>IF(EXACT("Cyber-cafes","Cyber-cafes"),'Pricing and editable planning i'!B11*'Pricing and editable planning i'!B6,IF(EXACT("Cyber-cafes","API"),'Pricing and editable planning i'!B12/12*'Pricing and editable planning i'!B7,0))</f>
        <v>99800</v>
      </c>
      <c r="E7" s="8">
        <f>IF(EXACT("Cyber-cafes","Cyber-cafes"),'Pricing and editable planning i'!B11*'Pricing and editable planning i'!B6,IF(EXACT("Cyber-cafes","API"),'Pricing and editable planning i'!B12/12*'Pricing and editable planning i'!B7,0))</f>
        <v>99800</v>
      </c>
      <c r="F7" s="8">
        <f>IF(EXACT("Cyber-cafes","Cyber-cafes"),'Pricing and editable planning i'!B11*'Pricing and editable planning i'!B6,IF(EXACT("Cyber-cafes","API"),'Pricing and editable planning i'!B12/12*'Pricing and editable planning i'!B7,0))</f>
        <v>99800</v>
      </c>
      <c r="G7" s="8">
        <f>IF(EXACT("Cyber-cafes","Cyber-cafes"),'Pricing and editable planning i'!B11*'Pricing and editable planning i'!B6,IF(EXACT("Cyber-cafes","API"),'Pricing and editable planning i'!B12/12*'Pricing and editable planning i'!B7,0))</f>
        <v>99800</v>
      </c>
      <c r="H7" s="8">
        <f>IF(EXACT("Cyber-cafes","Cyber-cafes"),'Pricing and editable planning i'!B11*'Pricing and editable planning i'!B6,IF(EXACT("Cyber-cafes","API"),'Pricing and editable planning i'!B12/12*'Pricing and editable planning i'!B7,0))</f>
        <v>99800</v>
      </c>
      <c r="I7" s="8">
        <f>IF(EXACT("Cyber-cafes","Cyber-cafes"),'Pricing and editable planning i'!B11*'Pricing and editable planning i'!B6,IF(EXACT("Cyber-cafes","API"),'Pricing and editable planning i'!B12/12*'Pricing and editable planning i'!B7,0))</f>
        <v>99800</v>
      </c>
      <c r="J7" s="8">
        <f>IF(EXACT("Cyber-cafes","Cyber-cafes"),'Pricing and editable planning i'!B11*'Pricing and editable planning i'!B6,IF(EXACT("Cyber-cafes","API"),'Pricing and editable planning i'!B12/12*'Pricing and editable planning i'!B7,0))</f>
        <v>99800</v>
      </c>
      <c r="K7" s="8">
        <f>IF(EXACT("Cyber-cafes","Cyber-cafes"),'Pricing and editable planning i'!B11*'Pricing and editable planning i'!B6,IF(EXACT("Cyber-cafes","API"),'Pricing and editable planning i'!B12/12*'Pricing and editable planning i'!B7,0))</f>
        <v>99800</v>
      </c>
      <c r="L7" s="8">
        <f>IF(EXACT("Cyber-cafes","Cyber-cafes"),'Pricing and editable planning i'!B11*'Pricing and editable planning i'!B6,IF(EXACT("Cyber-cafes","API"),'Pricing and editable planning i'!B12/12*'Pricing and editable planning i'!B7,0))</f>
        <v>99800</v>
      </c>
      <c r="M7" s="8">
        <f>IF(EXACT("Cyber-cafes","Cyber-cafes"),'Pricing and editable planning i'!B11*'Pricing and editable planning i'!B6,IF(EXACT("Cyber-cafes","API"),'Pricing and editable planning i'!B12/12*'Pricing and editable planning i'!B7,0))</f>
        <v>99800</v>
      </c>
    </row>
    <row r="8" outlineLevel="1">
      <c r="A8" t="inlineStr" s="14">
        <is>
          <t xml:space="preserve">Students</t>
        </is>
      </c>
      <c r="B8" s="8">
        <f>IF(EXACT("Students","Cyber-cafes"),'Pricing and editable planning i'!B11*'Pricing and editable planning i'!B6,IF(EXACT("Students","API"),'Pricing and editable planning i'!B12/12*'Pricing and editable planning i'!B7,0))</f>
        <v>0</v>
      </c>
      <c r="C8" s="8">
        <f>IF(EXACT("Students","Cyber-cafes"),'Pricing and editable planning i'!B11*'Pricing and editable planning i'!B6,IF(EXACT("Students","API"),'Pricing and editable planning i'!B12/12*'Pricing and editable planning i'!B7,0))</f>
        <v>0</v>
      </c>
      <c r="D8" s="8">
        <f>IF(EXACT("Students","Cyber-cafes"),'Pricing and editable planning i'!B11*'Pricing and editable planning i'!B6,IF(EXACT("Students","API"),'Pricing and editable planning i'!B12/12*'Pricing and editable planning i'!B7,0))</f>
        <v>0</v>
      </c>
      <c r="E8" s="8">
        <f>IF(EXACT("Students","Cyber-cafes"),'Pricing and editable planning i'!B11*'Pricing and editable planning i'!B6,IF(EXACT("Students","API"),'Pricing and editable planning i'!B12/12*'Pricing and editable planning i'!B7,0))</f>
        <v>0</v>
      </c>
      <c r="F8" s="8">
        <f>IF(EXACT("Students","Cyber-cafes"),'Pricing and editable planning i'!B11*'Pricing and editable planning i'!B6,IF(EXACT("Students","API"),'Pricing and editable planning i'!B12/12*'Pricing and editable planning i'!B7,0))</f>
        <v>0</v>
      </c>
      <c r="G8" s="8">
        <f>IF(EXACT("Students","Cyber-cafes"),'Pricing and editable planning i'!B11*'Pricing and editable planning i'!B6,IF(EXACT("Students","API"),'Pricing and editable planning i'!B12/12*'Pricing and editable planning i'!B7,0))</f>
        <v>0</v>
      </c>
      <c r="H8" s="8">
        <f>IF(EXACT("Students","Cyber-cafes"),'Pricing and editable planning i'!B11*'Pricing and editable planning i'!B6,IF(EXACT("Students","API"),'Pricing and editable planning i'!B12/12*'Pricing and editable planning i'!B7,0))</f>
        <v>0</v>
      </c>
      <c r="I8" s="8">
        <f>IF(EXACT("Students","Cyber-cafes"),'Pricing and editable planning i'!B11*'Pricing and editable planning i'!B6,IF(EXACT("Students","API"),'Pricing and editable planning i'!B12/12*'Pricing and editable planning i'!B7,0))</f>
        <v>0</v>
      </c>
      <c r="J8" s="8">
        <f>IF(EXACT("Students","Cyber-cafes"),'Pricing and editable planning i'!B11*'Pricing and editable planning i'!B6,IF(EXACT("Students","API"),'Pricing and editable planning i'!B12/12*'Pricing and editable planning i'!B7,0))</f>
        <v>0</v>
      </c>
      <c r="K8" s="8">
        <f>IF(EXACT("Students","Cyber-cafes"),'Pricing and editable planning i'!B11*'Pricing and editable planning i'!B6,IF(EXACT("Students","API"),'Pricing and editable planning i'!B12/12*'Pricing and editable planning i'!B7,0))</f>
        <v>0</v>
      </c>
      <c r="L8" s="8">
        <f>IF(EXACT("Students","Cyber-cafes"),'Pricing and editable planning i'!B11*'Pricing and editable planning i'!B6,IF(EXACT("Students","API"),'Pricing and editable planning i'!B12/12*'Pricing and editable planning i'!B7,0))</f>
        <v>0</v>
      </c>
      <c r="M8" s="8">
        <f>IF(EXACT("Students","Cyber-cafes"),'Pricing and editable planning i'!B11*'Pricing and editable planning i'!B6,IF(EXACT("Students","API"),'Pricing and editable planning i'!B12/12*'Pricing and editable planning i'!B7,0))</f>
        <v>0</v>
      </c>
    </row>
    <row r="9">
      <c r="A9" t="inlineStr" s="5">
        <is>
          <t xml:space="preserve">NS checks</t>
        </is>
      </c>
      <c r="B9" s="6">
        <f>SUM('Monthly revenue and check costs'!B10,'Monthly revenue and check costs'!B11,'Monthly revenue and check costs'!B12)</f>
        <v>7500</v>
      </c>
      <c r="C9" s="6">
        <f>SUM('Monthly revenue and check costs'!C10,'Monthly revenue and check costs'!C11,'Monthly revenue and check costs'!C12)</f>
        <v>7500</v>
      </c>
      <c r="D9" s="6">
        <f>SUM('Monthly revenue and check costs'!D10,'Monthly revenue and check costs'!D11,'Monthly revenue and check costs'!D12)</f>
        <v>7500</v>
      </c>
      <c r="E9" s="6">
        <f>SUM('Monthly revenue and check costs'!E10,'Monthly revenue and check costs'!E11,'Monthly revenue and check costs'!E12)</f>
        <v>7500</v>
      </c>
      <c r="F9" s="6">
        <f>SUM('Monthly revenue and check costs'!F10,'Monthly revenue and check costs'!F11,'Monthly revenue and check costs'!F12)</f>
        <v>7500</v>
      </c>
      <c r="G9" s="6">
        <f>SUM('Monthly revenue and check costs'!G10,'Monthly revenue and check costs'!G11,'Monthly revenue and check costs'!G12)</f>
        <v>7500</v>
      </c>
      <c r="H9" s="6">
        <f>SUM('Monthly revenue and check costs'!H10,'Monthly revenue and check costs'!H11,'Monthly revenue and check costs'!H12)</f>
        <v>7500</v>
      </c>
      <c r="I9" s="6">
        <f>SUM('Monthly revenue and check costs'!I10,'Monthly revenue and check costs'!I11,'Monthly revenue and check costs'!I12)</f>
        <v>7500</v>
      </c>
      <c r="J9" s="6">
        <f>SUM('Monthly revenue and check costs'!J10,'Monthly revenue and check costs'!J11,'Monthly revenue and check costs'!J12)</f>
        <v>7500</v>
      </c>
      <c r="K9" s="6">
        <f>SUM('Monthly revenue and check costs'!K10,'Monthly revenue and check costs'!K11,'Monthly revenue and check costs'!K12)</f>
        <v>7500</v>
      </c>
      <c r="L9" s="6">
        <f>SUM('Monthly revenue and check costs'!L10,'Monthly revenue and check costs'!L11,'Monthly revenue and check costs'!L12)</f>
        <v>7500</v>
      </c>
      <c r="M9" s="6">
        <f>SUM('Monthly revenue and check costs'!M10,'Monthly revenue and check costs'!M11,'Monthly revenue and check costs'!M12)</f>
        <v>7500</v>
      </c>
    </row>
    <row r="10" outlineLevel="1">
      <c r="A10" t="inlineStr" s="14">
        <is>
          <t xml:space="preserve">API</t>
        </is>
      </c>
      <c r="B10" s="10">
        <f>IF(EXACT("API","Cyber-cafes"),'Pricing and editable planning i'!B11*'Pricing and editable planning i'!B13,IF(EXACT("API","API"),'Pricing and editable planning i'!B12/12,'Pricing and editable planning i'!B14*MIN('Pricing and editable planning i'!B15,'Pricing and editable planning i'!B5)))</f>
        <v>2500</v>
      </c>
      <c r="C10" s="10">
        <f>IF(EXACT("API","Cyber-cafes"),'Pricing and editable planning i'!B11*'Pricing and editable planning i'!B13,IF(EXACT("API","API"),'Pricing and editable planning i'!B12/12,'Pricing and editable planning i'!B14*MIN('Pricing and editable planning i'!B15,'Pricing and editable planning i'!B5)))</f>
        <v>2500</v>
      </c>
      <c r="D10" s="10">
        <f>IF(EXACT("API","Cyber-cafes"),'Pricing and editable planning i'!B11*'Pricing and editable planning i'!B13,IF(EXACT("API","API"),'Pricing and editable planning i'!B12/12,'Pricing and editable planning i'!B14*MIN('Pricing and editable planning i'!B15,'Pricing and editable planning i'!B5)))</f>
        <v>2500</v>
      </c>
      <c r="E10" s="10">
        <f>IF(EXACT("API","Cyber-cafes"),'Pricing and editable planning i'!B11*'Pricing and editable planning i'!B13,IF(EXACT("API","API"),'Pricing and editable planning i'!B12/12,'Pricing and editable planning i'!B14*MIN('Pricing and editable planning i'!B15,'Pricing and editable planning i'!B5)))</f>
        <v>2500</v>
      </c>
      <c r="F10" s="10">
        <f>IF(EXACT("API","Cyber-cafes"),'Pricing and editable planning i'!B11*'Pricing and editable planning i'!B13,IF(EXACT("API","API"),'Pricing and editable planning i'!B12/12,'Pricing and editable planning i'!B14*MIN('Pricing and editable planning i'!B15,'Pricing and editable planning i'!B5)))</f>
        <v>2500</v>
      </c>
      <c r="G10" s="10">
        <f>IF(EXACT("API","Cyber-cafes"),'Pricing and editable planning i'!B11*'Pricing and editable planning i'!B13,IF(EXACT("API","API"),'Pricing and editable planning i'!B12/12,'Pricing and editable planning i'!B14*MIN('Pricing and editable planning i'!B15,'Pricing and editable planning i'!B5)))</f>
        <v>2500</v>
      </c>
      <c r="H10" s="10">
        <f>IF(EXACT("API","Cyber-cafes"),'Pricing and editable planning i'!B11*'Pricing and editable planning i'!B13,IF(EXACT("API","API"),'Pricing and editable planning i'!B12/12,'Pricing and editable planning i'!B14*MIN('Pricing and editable planning i'!B15,'Pricing and editable planning i'!B5)))</f>
        <v>2500</v>
      </c>
      <c r="I10" s="10">
        <f>IF(EXACT("API","Cyber-cafes"),'Pricing and editable planning i'!B11*'Pricing and editable planning i'!B13,IF(EXACT("API","API"),'Pricing and editable planning i'!B12/12,'Pricing and editable planning i'!B14*MIN('Pricing and editable planning i'!B15,'Pricing and editable planning i'!B5)))</f>
        <v>2500</v>
      </c>
      <c r="J10" s="10">
        <f>IF(EXACT("API","Cyber-cafes"),'Pricing and editable planning i'!B11*'Pricing and editable planning i'!B13,IF(EXACT("API","API"),'Pricing and editable planning i'!B12/12,'Pricing and editable planning i'!B14*MIN('Pricing and editable planning i'!B15,'Pricing and editable planning i'!B5)))</f>
        <v>2500</v>
      </c>
      <c r="K10" s="10">
        <f>IF(EXACT("API","Cyber-cafes"),'Pricing and editable planning i'!B11*'Pricing and editable planning i'!B13,IF(EXACT("API","API"),'Pricing and editable planning i'!B12/12,'Pricing and editable planning i'!B14*MIN('Pricing and editable planning i'!B15,'Pricing and editable planning i'!B5)))</f>
        <v>2500</v>
      </c>
      <c r="L10" s="10">
        <f>IF(EXACT("API","Cyber-cafes"),'Pricing and editable planning i'!B11*'Pricing and editable planning i'!B13,IF(EXACT("API","API"),'Pricing and editable planning i'!B12/12,'Pricing and editable planning i'!B14*MIN('Pricing and editable planning i'!B15,'Pricing and editable planning i'!B5)))</f>
        <v>2500</v>
      </c>
      <c r="M10" s="10">
        <f>IF(EXACT("API","Cyber-cafes"),'Pricing and editable planning i'!B11*'Pricing and editable planning i'!B13,IF(EXACT("API","API"),'Pricing and editable planning i'!B12/12,'Pricing and editable planning i'!B14*MIN('Pricing and editable planning i'!B15,'Pricing and editable planning i'!B5)))</f>
        <v>2500</v>
      </c>
    </row>
    <row r="11" outlineLevel="1">
      <c r="A11" t="inlineStr" s="14">
        <is>
          <t xml:space="preserve">Cyber-cafes</t>
        </is>
      </c>
      <c r="B11" s="10">
        <f>IF(EXACT("Cyber-cafes","Cyber-cafes"),'Pricing and editable planning i'!B11*'Pricing and editable planning i'!B13,IF(EXACT("Cyber-cafes","API"),'Pricing and editable planning i'!B12/12,'Pricing and editable planning i'!B14*MIN('Pricing and editable planning i'!B15,'Pricing and editable planning i'!B5)))</f>
        <v>2000</v>
      </c>
      <c r="C11" s="10">
        <f>IF(EXACT("Cyber-cafes","Cyber-cafes"),'Pricing and editable planning i'!B11*'Pricing and editable planning i'!B13,IF(EXACT("Cyber-cafes","API"),'Pricing and editable planning i'!B12/12,'Pricing and editable planning i'!B14*MIN('Pricing and editable planning i'!B15,'Pricing and editable planning i'!B5)))</f>
        <v>2000</v>
      </c>
      <c r="D11" s="10">
        <f>IF(EXACT("Cyber-cafes","Cyber-cafes"),'Pricing and editable planning i'!B11*'Pricing and editable planning i'!B13,IF(EXACT("Cyber-cafes","API"),'Pricing and editable planning i'!B12/12,'Pricing and editable planning i'!B14*MIN('Pricing and editable planning i'!B15,'Pricing and editable planning i'!B5)))</f>
        <v>2000</v>
      </c>
      <c r="E11" s="10">
        <f>IF(EXACT("Cyber-cafes","Cyber-cafes"),'Pricing and editable planning i'!B11*'Pricing and editable planning i'!B13,IF(EXACT("Cyber-cafes","API"),'Pricing and editable planning i'!B12/12,'Pricing and editable planning i'!B14*MIN('Pricing and editable planning i'!B15,'Pricing and editable planning i'!B5)))</f>
        <v>2000</v>
      </c>
      <c r="F11" s="10">
        <f>IF(EXACT("Cyber-cafes","Cyber-cafes"),'Pricing and editable planning i'!B11*'Pricing and editable planning i'!B13,IF(EXACT("Cyber-cafes","API"),'Pricing and editable planning i'!B12/12,'Pricing and editable planning i'!B14*MIN('Pricing and editable planning i'!B15,'Pricing and editable planning i'!B5)))</f>
        <v>2000</v>
      </c>
      <c r="G11" s="10">
        <f>IF(EXACT("Cyber-cafes","Cyber-cafes"),'Pricing and editable planning i'!B11*'Pricing and editable planning i'!B13,IF(EXACT("Cyber-cafes","API"),'Pricing and editable planning i'!B12/12,'Pricing and editable planning i'!B14*MIN('Pricing and editable planning i'!B15,'Pricing and editable planning i'!B5)))</f>
        <v>2000</v>
      </c>
      <c r="H11" s="10">
        <f>IF(EXACT("Cyber-cafes","Cyber-cafes"),'Pricing and editable planning i'!B11*'Pricing and editable planning i'!B13,IF(EXACT("Cyber-cafes","API"),'Pricing and editable planning i'!B12/12,'Pricing and editable planning i'!B14*MIN('Pricing and editable planning i'!B15,'Pricing and editable planning i'!B5)))</f>
        <v>2000</v>
      </c>
      <c r="I11" s="10">
        <f>IF(EXACT("Cyber-cafes","Cyber-cafes"),'Pricing and editable planning i'!B11*'Pricing and editable planning i'!B13,IF(EXACT("Cyber-cafes","API"),'Pricing and editable planning i'!B12/12,'Pricing and editable planning i'!B14*MIN('Pricing and editable planning i'!B15,'Pricing and editable planning i'!B5)))</f>
        <v>2000</v>
      </c>
      <c r="J11" s="10">
        <f>IF(EXACT("Cyber-cafes","Cyber-cafes"),'Pricing and editable planning i'!B11*'Pricing and editable planning i'!B13,IF(EXACT("Cyber-cafes","API"),'Pricing and editable planning i'!B12/12,'Pricing and editable planning i'!B14*MIN('Pricing and editable planning i'!B15,'Pricing and editable planning i'!B5)))</f>
        <v>2000</v>
      </c>
      <c r="K11" s="10">
        <f>IF(EXACT("Cyber-cafes","Cyber-cafes"),'Pricing and editable planning i'!B11*'Pricing and editable planning i'!B13,IF(EXACT("Cyber-cafes","API"),'Pricing and editable planning i'!B12/12,'Pricing and editable planning i'!B14*MIN('Pricing and editable planning i'!B15,'Pricing and editable planning i'!B5)))</f>
        <v>2000</v>
      </c>
      <c r="L11" s="10">
        <f>IF(EXACT("Cyber-cafes","Cyber-cafes"),'Pricing and editable planning i'!B11*'Pricing and editable planning i'!B13,IF(EXACT("Cyber-cafes","API"),'Pricing and editable planning i'!B12/12,'Pricing and editable planning i'!B14*MIN('Pricing and editable planning i'!B15,'Pricing and editable planning i'!B5)))</f>
        <v>2000</v>
      </c>
      <c r="M11" s="10">
        <f>IF(EXACT("Cyber-cafes","Cyber-cafes"),'Pricing and editable planning i'!B11*'Pricing and editable planning i'!B13,IF(EXACT("Cyber-cafes","API"),'Pricing and editable planning i'!B12/12,'Pricing and editable planning i'!B14*MIN('Pricing and editable planning i'!B15,'Pricing and editable planning i'!B5)))</f>
        <v>2000</v>
      </c>
    </row>
    <row r="12" outlineLevel="1">
      <c r="A12" t="inlineStr" s="14">
        <is>
          <t xml:space="preserve">Students</t>
        </is>
      </c>
      <c r="B12" s="10">
        <f>IF(EXACT("Students","Cyber-cafes"),'Pricing and editable planning i'!B11*'Pricing and editable planning i'!B13,IF(EXACT("Students","API"),'Pricing and editable planning i'!B12/12,'Pricing and editable planning i'!B14*MIN('Pricing and editable planning i'!B15,'Pricing and editable planning i'!B5)))</f>
        <v>3000</v>
      </c>
      <c r="C12" s="10">
        <f>IF(EXACT("Students","Cyber-cafes"),'Pricing and editable planning i'!B11*'Pricing and editable planning i'!B13,IF(EXACT("Students","API"),'Pricing and editable planning i'!B12/12,'Pricing and editable planning i'!B14*MIN('Pricing and editable planning i'!B15,'Pricing and editable planning i'!B5)))</f>
        <v>3000</v>
      </c>
      <c r="D12" s="10">
        <f>IF(EXACT("Students","Cyber-cafes"),'Pricing and editable planning i'!B11*'Pricing and editable planning i'!B13,IF(EXACT("Students","API"),'Pricing and editable planning i'!B12/12,'Pricing and editable planning i'!B14*MIN('Pricing and editable planning i'!B15,'Pricing and editable planning i'!B5)))</f>
        <v>3000</v>
      </c>
      <c r="E12" s="10">
        <f>IF(EXACT("Students","Cyber-cafes"),'Pricing and editable planning i'!B11*'Pricing and editable planning i'!B13,IF(EXACT("Students","API"),'Pricing and editable planning i'!B12/12,'Pricing and editable planning i'!B14*MIN('Pricing and editable planning i'!B15,'Pricing and editable planning i'!B5)))</f>
        <v>3000</v>
      </c>
      <c r="F12" s="10">
        <f>IF(EXACT("Students","Cyber-cafes"),'Pricing and editable planning i'!B11*'Pricing and editable planning i'!B13,IF(EXACT("Students","API"),'Pricing and editable planning i'!B12/12,'Pricing and editable planning i'!B14*MIN('Pricing and editable planning i'!B15,'Pricing and editable planning i'!B5)))</f>
        <v>3000</v>
      </c>
      <c r="G12" s="10">
        <f>IF(EXACT("Students","Cyber-cafes"),'Pricing and editable planning i'!B11*'Pricing and editable planning i'!B13,IF(EXACT("Students","API"),'Pricing and editable planning i'!B12/12,'Pricing and editable planning i'!B14*MIN('Pricing and editable planning i'!B15,'Pricing and editable planning i'!B5)))</f>
        <v>3000</v>
      </c>
      <c r="H12" s="10">
        <f>IF(EXACT("Students","Cyber-cafes"),'Pricing and editable planning i'!B11*'Pricing and editable planning i'!B13,IF(EXACT("Students","API"),'Pricing and editable planning i'!B12/12,'Pricing and editable planning i'!B14*MIN('Pricing and editable planning i'!B15,'Pricing and editable planning i'!B5)))</f>
        <v>3000</v>
      </c>
      <c r="I12" s="10">
        <f>IF(EXACT("Students","Cyber-cafes"),'Pricing and editable planning i'!B11*'Pricing and editable planning i'!B13,IF(EXACT("Students","API"),'Pricing and editable planning i'!B12/12,'Pricing and editable planning i'!B14*MIN('Pricing and editable planning i'!B15,'Pricing and editable planning i'!B5)))</f>
        <v>3000</v>
      </c>
      <c r="J12" s="10">
        <f>IF(EXACT("Students","Cyber-cafes"),'Pricing and editable planning i'!B11*'Pricing and editable planning i'!B13,IF(EXACT("Students","API"),'Pricing and editable planning i'!B12/12,'Pricing and editable planning i'!B14*MIN('Pricing and editable planning i'!B15,'Pricing and editable planning i'!B5)))</f>
        <v>3000</v>
      </c>
      <c r="K12" s="10">
        <f>IF(EXACT("Students","Cyber-cafes"),'Pricing and editable planning i'!B11*'Pricing and editable planning i'!B13,IF(EXACT("Students","API"),'Pricing and editable planning i'!B12/12,'Pricing and editable planning i'!B14*MIN('Pricing and editable planning i'!B15,'Pricing and editable planning i'!B5)))</f>
        <v>3000</v>
      </c>
      <c r="L12" s="10">
        <f>IF(EXACT("Students","Cyber-cafes"),'Pricing and editable planning i'!B11*'Pricing and editable planning i'!B13,IF(EXACT("Students","API"),'Pricing and editable planning i'!B12/12,'Pricing and editable planning i'!B14*MIN('Pricing and editable planning i'!B15,'Pricing and editable planning i'!B5)))</f>
        <v>3000</v>
      </c>
      <c r="M12" s="10">
        <f>IF(EXACT("Students","Cyber-cafes"),'Pricing and editable planning i'!B11*'Pricing and editable planning i'!B13,IF(EXACT("Students","API"),'Pricing and editable planning i'!B12/12,'Pricing and editable planning i'!B14*MIN('Pricing and editable planning i'!B15,'Pricing and editable planning i'!B5)))</f>
        <v>3000</v>
      </c>
    </row>
    <row r="13">
      <c r="A13" t="inlineStr" s="5">
        <is>
          <t xml:space="preserve">NS check costs</t>
        </is>
      </c>
      <c r="B13" s="11">
        <f>SUM('Monthly revenue and check costs'!B14,'Monthly revenue and check costs'!B15,'Monthly revenue and check costs'!B16)</f>
        <v>16875</v>
      </c>
      <c r="C13" s="11">
        <f>SUM('Monthly revenue and check costs'!C14,'Monthly revenue and check costs'!C15,'Monthly revenue and check costs'!C16)</f>
        <v>16875</v>
      </c>
      <c r="D13" s="11">
        <f>SUM('Monthly revenue and check costs'!D14,'Monthly revenue and check costs'!D15,'Monthly revenue and check costs'!D16)</f>
        <v>16875</v>
      </c>
      <c r="E13" s="11">
        <f>SUM('Monthly revenue and check costs'!E14,'Monthly revenue and check costs'!E15,'Monthly revenue and check costs'!E16)</f>
        <v>16875</v>
      </c>
      <c r="F13" s="11">
        <f>SUM('Monthly revenue and check costs'!F14,'Monthly revenue and check costs'!F15,'Monthly revenue and check costs'!F16)</f>
        <v>16875</v>
      </c>
      <c r="G13" s="11">
        <f>SUM('Monthly revenue and check costs'!G14,'Monthly revenue and check costs'!G15,'Monthly revenue and check costs'!G16)</f>
        <v>16875</v>
      </c>
      <c r="H13" s="11">
        <f>SUM('Monthly revenue and check costs'!H14,'Monthly revenue and check costs'!H15,'Monthly revenue and check costs'!H16)</f>
        <v>16875</v>
      </c>
      <c r="I13" s="11">
        <f>SUM('Monthly revenue and check costs'!I14,'Monthly revenue and check costs'!I15,'Monthly revenue and check costs'!I16)</f>
        <v>16875</v>
      </c>
      <c r="J13" s="11">
        <f>SUM('Monthly revenue and check costs'!J14,'Monthly revenue and check costs'!J15,'Monthly revenue and check costs'!J16)</f>
        <v>16875</v>
      </c>
      <c r="K13" s="11">
        <f>SUM('Monthly revenue and check costs'!K14,'Monthly revenue and check costs'!K15,'Monthly revenue and check costs'!K16)</f>
        <v>16875</v>
      </c>
      <c r="L13" s="11">
        <f>SUM('Monthly revenue and check costs'!L14,'Monthly revenue and check costs'!L15,'Monthly revenue and check costs'!L16)</f>
        <v>16875</v>
      </c>
      <c r="M13" s="11">
        <f>SUM('Monthly revenue and check costs'!M14,'Monthly revenue and check costs'!M15,'Monthly revenue and check costs'!M16)</f>
        <v>16875</v>
      </c>
    </row>
    <row r="14" outlineLevel="1">
      <c r="A14" t="inlineStr" s="14">
        <is>
          <t xml:space="preserve">API</t>
        </is>
      </c>
      <c r="B14" s="8">
        <f>'Monthly revenue and check costs'!B10*'Pricing and editable planning i'!B10</f>
        <v>5625</v>
      </c>
      <c r="C14" s="8">
        <f>'Monthly revenue and check costs'!C10*'Pricing and editable planning i'!B10</f>
        <v>5625</v>
      </c>
      <c r="D14" s="8">
        <f>'Monthly revenue and check costs'!D10*'Pricing and editable planning i'!B10</f>
        <v>5625</v>
      </c>
      <c r="E14" s="8">
        <f>'Monthly revenue and check costs'!E10*'Pricing and editable planning i'!B10</f>
        <v>5625</v>
      </c>
      <c r="F14" s="8">
        <f>'Monthly revenue and check costs'!F10*'Pricing and editable planning i'!B10</f>
        <v>5625</v>
      </c>
      <c r="G14" s="8">
        <f>'Monthly revenue and check costs'!G10*'Pricing and editable planning i'!B10</f>
        <v>5625</v>
      </c>
      <c r="H14" s="8">
        <f>'Monthly revenue and check costs'!H10*'Pricing and editable planning i'!B10</f>
        <v>5625</v>
      </c>
      <c r="I14" s="8">
        <f>'Monthly revenue and check costs'!I10*'Pricing and editable planning i'!B10</f>
        <v>5625</v>
      </c>
      <c r="J14" s="8">
        <f>'Monthly revenue and check costs'!J10*'Pricing and editable planning i'!B10</f>
        <v>5625</v>
      </c>
      <c r="K14" s="8">
        <f>'Monthly revenue and check costs'!K10*'Pricing and editable planning i'!B10</f>
        <v>5625</v>
      </c>
      <c r="L14" s="8">
        <f>'Monthly revenue and check costs'!L10*'Pricing and editable planning i'!B10</f>
        <v>5625</v>
      </c>
      <c r="M14" s="8">
        <f>'Monthly revenue and check costs'!M10*'Pricing and editable planning i'!B10</f>
        <v>5625</v>
      </c>
    </row>
    <row r="15" outlineLevel="1">
      <c r="A15" t="inlineStr" s="14">
        <is>
          <t xml:space="preserve">Cyber-cafes</t>
        </is>
      </c>
      <c r="B15" s="8">
        <f>'Monthly revenue and check costs'!B11*'Pricing and editable planning i'!B10</f>
        <v>4500</v>
      </c>
      <c r="C15" s="8">
        <f>'Monthly revenue and check costs'!C11*'Pricing and editable planning i'!B10</f>
        <v>4500</v>
      </c>
      <c r="D15" s="8">
        <f>'Monthly revenue and check costs'!D11*'Pricing and editable planning i'!B10</f>
        <v>4500</v>
      </c>
      <c r="E15" s="8">
        <f>'Monthly revenue and check costs'!E11*'Pricing and editable planning i'!B10</f>
        <v>4500</v>
      </c>
      <c r="F15" s="8">
        <f>'Monthly revenue and check costs'!F11*'Pricing and editable planning i'!B10</f>
        <v>4500</v>
      </c>
      <c r="G15" s="8">
        <f>'Monthly revenue and check costs'!G11*'Pricing and editable planning i'!B10</f>
        <v>4500</v>
      </c>
      <c r="H15" s="8">
        <f>'Monthly revenue and check costs'!H11*'Pricing and editable planning i'!B10</f>
        <v>4500</v>
      </c>
      <c r="I15" s="8">
        <f>'Monthly revenue and check costs'!I11*'Pricing and editable planning i'!B10</f>
        <v>4500</v>
      </c>
      <c r="J15" s="8">
        <f>'Monthly revenue and check costs'!J11*'Pricing and editable planning i'!B10</f>
        <v>4500</v>
      </c>
      <c r="K15" s="8">
        <f>'Monthly revenue and check costs'!K11*'Pricing and editable planning i'!B10</f>
        <v>4500</v>
      </c>
      <c r="L15" s="8">
        <f>'Monthly revenue and check costs'!L11*'Pricing and editable planning i'!B10</f>
        <v>4500</v>
      </c>
      <c r="M15" s="8">
        <f>'Monthly revenue and check costs'!M11*'Pricing and editable planning i'!B10</f>
        <v>4500</v>
      </c>
    </row>
    <row r="16" outlineLevel="1">
      <c r="A16" t="inlineStr" s="14">
        <is>
          <t xml:space="preserve">Students</t>
        </is>
      </c>
      <c r="B16" s="8">
        <f>'Monthly revenue and check costs'!B12*'Pricing and editable planning i'!B10</f>
        <v>6750</v>
      </c>
      <c r="C16" s="8">
        <f>'Monthly revenue and check costs'!C12*'Pricing and editable planning i'!B10</f>
        <v>6750</v>
      </c>
      <c r="D16" s="8">
        <f>'Monthly revenue and check costs'!D12*'Pricing and editable planning i'!B10</f>
        <v>6750</v>
      </c>
      <c r="E16" s="8">
        <f>'Monthly revenue and check costs'!E12*'Pricing and editable planning i'!B10</f>
        <v>6750</v>
      </c>
      <c r="F16" s="8">
        <f>'Monthly revenue and check costs'!F12*'Pricing and editable planning i'!B10</f>
        <v>6750</v>
      </c>
      <c r="G16" s="8">
        <f>'Monthly revenue and check costs'!G12*'Pricing and editable planning i'!B10</f>
        <v>6750</v>
      </c>
      <c r="H16" s="8">
        <f>'Monthly revenue and check costs'!H12*'Pricing and editable planning i'!B10</f>
        <v>6750</v>
      </c>
      <c r="I16" s="8">
        <f>'Monthly revenue and check costs'!I12*'Pricing and editable planning i'!B10</f>
        <v>6750</v>
      </c>
      <c r="J16" s="8">
        <f>'Monthly revenue and check costs'!J12*'Pricing and editable planning i'!B10</f>
        <v>6750</v>
      </c>
      <c r="K16" s="8">
        <f>'Monthly revenue and check costs'!K12*'Pricing and editable planning i'!B10</f>
        <v>6750</v>
      </c>
      <c r="L16" s="8">
        <f>'Monthly revenue and check costs'!L12*'Pricing and editable planning i'!B10</f>
        <v>6750</v>
      </c>
      <c r="M16" s="8">
        <f>'Monthly revenue and check costs'!M12*'Pricing and editable planning i'!B10</f>
        <v>6750</v>
      </c>
    </row>
  </sheetData>
  <mergeCells count="1">
    <mergeCell ref="A1:M1"/>
  </mergeCells>
</worksheet>
</file>

<file path=xl/worksheets/sheet4.xml><?xml version="1.0" encoding="utf-8"?>
<worksheet xmlns="http://schemas.openxmlformats.org/spreadsheetml/2006/main">
  <dimension ref="A1:M14"/>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32" customHeight="1">
      <c r="A1" t="inlineStr" s="1">
        <is>
          <t xml:space="preserve">Runway and operating profit</t>
        </is>
      </c>
    </row>
    <row r="2" ht="20" customHeight="1">
      <c r="A2" t="inlineStr" s="2">
        <is>
          <t xml:space="preserve">NaukriShield — Business Plan · Main Scenario</t>
        </is>
      </c>
    </row>
    <row r="4" ht="22" customHeight="1">
      <c r="A4" t="inlineStr" s="3">
        <is>
          <t xml:space="preserve">Variable / dimension</t>
        </is>
      </c>
      <c r="B4" t="inlineStr" s="4">
        <is>
          <t xml:space="preserve">2026-11</t>
        </is>
      </c>
      <c r="C4" t="inlineStr" s="4">
        <is>
          <t xml:space="preserve">2026-12</t>
        </is>
      </c>
      <c r="D4" t="inlineStr" s="13">
        <is>
          <t xml:space="preserve">2027-01</t>
        </is>
      </c>
      <c r="E4" t="inlineStr" s="4">
        <is>
          <t xml:space="preserve">2027-02</t>
        </is>
      </c>
      <c r="F4" t="inlineStr" s="4">
        <is>
          <t xml:space="preserve">2027-03</t>
        </is>
      </c>
      <c r="G4" t="inlineStr" s="13">
        <is>
          <t xml:space="preserve">2027-04</t>
        </is>
      </c>
      <c r="H4" t="inlineStr" s="4">
        <is>
          <t xml:space="preserve">2027-05</t>
        </is>
      </c>
      <c r="I4" t="inlineStr" s="4">
        <is>
          <t xml:space="preserve">2027-06</t>
        </is>
      </c>
      <c r="J4" t="inlineStr" s="13">
        <is>
          <t xml:space="preserve">2027-07</t>
        </is>
      </c>
      <c r="K4" t="inlineStr" s="4">
        <is>
          <t xml:space="preserve">2027-08</t>
        </is>
      </c>
      <c r="L4" t="inlineStr" s="4">
        <is>
          <t xml:space="preserve">2027-09</t>
        </is>
      </c>
      <c r="M4" t="inlineStr" s="13">
        <is>
          <t xml:space="preserve">2027-10</t>
        </is>
      </c>
    </row>
    <row r="5">
      <c r="A5" t="inlineStr" s="5">
        <is>
          <t xml:space="preserve">NS revenue</t>
        </is>
      </c>
      <c r="B5" s="11">
        <f>SUM('Monthly revenue and check costs'!B6,'Monthly revenue and check costs'!B7,'Monthly revenue and check costs'!B8)</f>
        <v>222300</v>
      </c>
      <c r="C5" s="11">
        <f>SUM('Monthly revenue and check costs'!C6,'Monthly revenue and check costs'!C7,'Monthly revenue and check costs'!C8)</f>
        <v>222300</v>
      </c>
      <c r="D5" s="11">
        <f>SUM('Monthly revenue and check costs'!D6,'Monthly revenue and check costs'!D7,'Monthly revenue and check costs'!D8)</f>
        <v>222300</v>
      </c>
      <c r="E5" s="11">
        <f>SUM('Monthly revenue and check costs'!E6,'Monthly revenue and check costs'!E7,'Monthly revenue and check costs'!E8)</f>
        <v>222300</v>
      </c>
      <c r="F5" s="11">
        <f>SUM('Monthly revenue and check costs'!F6,'Monthly revenue and check costs'!F7,'Monthly revenue and check costs'!F8)</f>
        <v>222300</v>
      </c>
      <c r="G5" s="11">
        <f>SUM('Monthly revenue and check costs'!G6,'Monthly revenue and check costs'!G7,'Monthly revenue and check costs'!G8)</f>
        <v>222300</v>
      </c>
      <c r="H5" s="11">
        <f>SUM('Monthly revenue and check costs'!H6,'Monthly revenue and check costs'!H7,'Monthly revenue and check costs'!H8)</f>
        <v>222300</v>
      </c>
      <c r="I5" s="11">
        <f>SUM('Monthly revenue and check costs'!I6,'Monthly revenue and check costs'!I7,'Monthly revenue and check costs'!I8)</f>
        <v>222300</v>
      </c>
      <c r="J5" s="11">
        <f>SUM('Monthly revenue and check costs'!J6,'Monthly revenue and check costs'!J7,'Monthly revenue and check costs'!J8)</f>
        <v>222300</v>
      </c>
      <c r="K5" s="11">
        <f>SUM('Monthly revenue and check costs'!K6,'Monthly revenue and check costs'!K7,'Monthly revenue and check costs'!K8)</f>
        <v>222300</v>
      </c>
      <c r="L5" s="11">
        <f>SUM('Monthly revenue and check costs'!L6,'Monthly revenue and check costs'!L7,'Monthly revenue and check costs'!L8)</f>
        <v>222300</v>
      </c>
      <c r="M5" s="11">
        <f>SUM('Monthly revenue and check costs'!M6,'Monthly revenue and check costs'!M7,'Monthly revenue and check costs'!M8)</f>
        <v>222300</v>
      </c>
    </row>
    <row r="6">
      <c r="A6" t="inlineStr" s="7">
        <is>
          <t xml:space="preserve">NS check costs</t>
        </is>
      </c>
      <c r="B6" s="8">
        <f>SUM('Monthly revenue and check costs'!B14,'Monthly revenue and check costs'!B15,'Monthly revenue and check costs'!B16)</f>
        <v>16875</v>
      </c>
      <c r="C6" s="8">
        <f>SUM('Monthly revenue and check costs'!C14,'Monthly revenue and check costs'!C15,'Monthly revenue and check costs'!C16)</f>
        <v>16875</v>
      </c>
      <c r="D6" s="8">
        <f>SUM('Monthly revenue and check costs'!D14,'Monthly revenue and check costs'!D15,'Monthly revenue and check costs'!D16)</f>
        <v>16875</v>
      </c>
      <c r="E6" s="8">
        <f>SUM('Monthly revenue and check costs'!E14,'Monthly revenue and check costs'!E15,'Monthly revenue and check costs'!E16)</f>
        <v>16875</v>
      </c>
      <c r="F6" s="8">
        <f>SUM('Monthly revenue and check costs'!F14,'Monthly revenue and check costs'!F15,'Monthly revenue and check costs'!F16)</f>
        <v>16875</v>
      </c>
      <c r="G6" s="8">
        <f>SUM('Monthly revenue and check costs'!G14,'Monthly revenue and check costs'!G15,'Monthly revenue and check costs'!G16)</f>
        <v>16875</v>
      </c>
      <c r="H6" s="8">
        <f>SUM('Monthly revenue and check costs'!H14,'Monthly revenue and check costs'!H15,'Monthly revenue and check costs'!H16)</f>
        <v>16875</v>
      </c>
      <c r="I6" s="8">
        <f>SUM('Monthly revenue and check costs'!I14,'Monthly revenue and check costs'!I15,'Monthly revenue and check costs'!I16)</f>
        <v>16875</v>
      </c>
      <c r="J6" s="8">
        <f>SUM('Monthly revenue and check costs'!J14,'Monthly revenue and check costs'!J15,'Monthly revenue and check costs'!J16)</f>
        <v>16875</v>
      </c>
      <c r="K6" s="8">
        <f>SUM('Monthly revenue and check costs'!K14,'Monthly revenue and check costs'!K15,'Monthly revenue and check costs'!K16)</f>
        <v>16875</v>
      </c>
      <c r="L6" s="8">
        <f>SUM('Monthly revenue and check costs'!L14,'Monthly revenue and check costs'!L15,'Monthly revenue and check costs'!L16)</f>
        <v>16875</v>
      </c>
      <c r="M6" s="8">
        <f>SUM('Monthly revenue and check costs'!M14,'Monthly revenue and check costs'!M15,'Monthly revenue and check costs'!M16)</f>
        <v>16875</v>
      </c>
    </row>
    <row r="7">
      <c r="A7" t="inlineStr" s="7">
        <is>
          <t xml:space="preserve">NS gross profit</t>
        </is>
      </c>
      <c r="B7" s="8">
        <f>'Runway and operating profit'!B5-'Runway and operating profit'!B6</f>
        <v>205425</v>
      </c>
      <c r="C7" s="8">
        <f>'Runway and operating profit'!C5-'Runway and operating profit'!C6</f>
        <v>205425</v>
      </c>
      <c r="D7" s="8">
        <f>'Runway and operating profit'!D5-'Runway and operating profit'!D6</f>
        <v>205425</v>
      </c>
      <c r="E7" s="8">
        <f>'Runway and operating profit'!E5-'Runway and operating profit'!E6</f>
        <v>205425</v>
      </c>
      <c r="F7" s="8">
        <f>'Runway and operating profit'!F5-'Runway and operating profit'!F6</f>
        <v>205425</v>
      </c>
      <c r="G7" s="8">
        <f>'Runway and operating profit'!G5-'Runway and operating profit'!G6</f>
        <v>205425</v>
      </c>
      <c r="H7" s="8">
        <f>'Runway and operating profit'!H5-'Runway and operating profit'!H6</f>
        <v>205425</v>
      </c>
      <c r="I7" s="8">
        <f>'Runway and operating profit'!I5-'Runway and operating profit'!I6</f>
        <v>205425</v>
      </c>
      <c r="J7" s="8">
        <f>'Runway and operating profit'!J5-'Runway and operating profit'!J6</f>
        <v>205425</v>
      </c>
      <c r="K7" s="8">
        <f>'Runway and operating profit'!K5-'Runway and operating profit'!K6</f>
        <v>205425</v>
      </c>
      <c r="L7" s="8">
        <f>'Runway and operating profit'!L5-'Runway and operating profit'!L6</f>
        <v>205425</v>
      </c>
      <c r="M7" s="8">
        <f>'Runway and operating profit'!M5-'Runway and operating profit'!M6</f>
        <v>205425</v>
      </c>
    </row>
    <row r="8">
      <c r="A8" t="inlineStr" s="7">
        <is>
          <t xml:space="preserve">NS gross margin</t>
        </is>
      </c>
      <c r="B8" s="12">
        <f>IFERROR('Runway and operating profit'!B7/'Runway and operating profit'!B5,"")</f>
        <v>0.9240890688259109</v>
      </c>
      <c r="C8" s="12">
        <f>IFERROR('Runway and operating profit'!C7/'Runway and operating profit'!C5,"")</f>
        <v>0.9240890688259109</v>
      </c>
      <c r="D8" s="12">
        <f>IFERROR('Runway and operating profit'!D7/'Runway and operating profit'!D5,"")</f>
        <v>0.9240890688259109</v>
      </c>
      <c r="E8" s="12">
        <f>IFERROR('Runway and operating profit'!E7/'Runway and operating profit'!E5,"")</f>
        <v>0.9240890688259109</v>
      </c>
      <c r="F8" s="12">
        <f>IFERROR('Runway and operating profit'!F7/'Runway and operating profit'!F5,"")</f>
        <v>0.9240890688259109</v>
      </c>
      <c r="G8" s="12">
        <f>IFERROR('Runway and operating profit'!G7/'Runway and operating profit'!G5,"")</f>
        <v>0.9240890688259109</v>
      </c>
      <c r="H8" s="12">
        <f>IFERROR('Runway and operating profit'!H7/'Runway and operating profit'!H5,"")</f>
        <v>0.9240890688259109</v>
      </c>
      <c r="I8" s="12">
        <f>IFERROR('Runway and operating profit'!I7/'Runway and operating profit'!I5,"")</f>
        <v>0.9240890688259109</v>
      </c>
      <c r="J8" s="12">
        <f>IFERROR('Runway and operating profit'!J7/'Runway and operating profit'!J5,"")</f>
        <v>0.9240890688259109</v>
      </c>
      <c r="K8" s="12">
        <f>IFERROR('Runway and operating profit'!K7/'Runway and operating profit'!K5,"")</f>
        <v>0.9240890688259109</v>
      </c>
      <c r="L8" s="12">
        <f>IFERROR('Runway and operating profit'!L7/'Runway and operating profit'!L5,"")</f>
        <v>0.9240890688259109</v>
      </c>
      <c r="M8" s="12">
        <f>IFERROR('Runway and operating profit'!M7/'Runway and operating profit'!M5,"")</f>
        <v>0.9240890688259109</v>
      </c>
    </row>
    <row r="9">
      <c r="A9" t="inlineStr" s="7">
        <is>
          <t xml:space="preserve">NS overhead</t>
        </is>
      </c>
      <c r="B9" s="8">
        <f>IF('Pricing and editable planning i'!B16="","",'Pricing and editable planning i'!B16)</f>
        <v>14692.5</v>
      </c>
      <c r="C9" s="8">
        <f>IF('Pricing and editable planning i'!B16="","",'Pricing and editable planning i'!B16)</f>
        <v>14692.5</v>
      </c>
      <c r="D9" s="8">
        <f>IF('Pricing and editable planning i'!B16="","",'Pricing and editable planning i'!B16)</f>
        <v>14692.5</v>
      </c>
      <c r="E9" s="8">
        <f>IF('Pricing and editable planning i'!B16="","",'Pricing and editable planning i'!B16)</f>
        <v>14692.5</v>
      </c>
      <c r="F9" s="8">
        <f>IF('Pricing and editable planning i'!B16="","",'Pricing and editable planning i'!B16)</f>
        <v>14692.5</v>
      </c>
      <c r="G9" s="8">
        <f>IF('Pricing and editable planning i'!B16="","",'Pricing and editable planning i'!B16)</f>
        <v>14692.5</v>
      </c>
      <c r="H9" s="8">
        <f>IF('Pricing and editable planning i'!B16="","",'Pricing and editable planning i'!B16)</f>
        <v>14692.5</v>
      </c>
      <c r="I9" s="8">
        <f>IF('Pricing and editable planning i'!B16="","",'Pricing and editable planning i'!B16)</f>
        <v>14692.5</v>
      </c>
      <c r="J9" s="8">
        <f>IF('Pricing and editable planning i'!B16="","",'Pricing and editable planning i'!B16)</f>
        <v>14692.5</v>
      </c>
      <c r="K9" s="8">
        <f>IF('Pricing and editable planning i'!B16="","",'Pricing and editable planning i'!B16)</f>
        <v>14692.5</v>
      </c>
      <c r="L9" s="8">
        <f>IF('Pricing and editable planning i'!B16="","",'Pricing and editable planning i'!B16)</f>
        <v>14692.5</v>
      </c>
      <c r="M9" s="8">
        <f>IF('Pricing and editable planning i'!B16="","",'Pricing and editable planning i'!B16)</f>
        <v>14692.5</v>
      </c>
    </row>
    <row r="10">
      <c r="A10" t="inlineStr" s="7">
        <is>
          <t xml:space="preserve">NS operating profit</t>
        </is>
      </c>
      <c r="B10" s="8">
        <f>'Runway and operating profit'!B7-'Runway and operating profit'!B9</f>
        <v>190732.5</v>
      </c>
      <c r="C10" s="8">
        <f>'Runway and operating profit'!C7-'Runway and operating profit'!C9</f>
        <v>190732.5</v>
      </c>
      <c r="D10" s="8">
        <f>'Runway and operating profit'!D7-'Runway and operating profit'!D9</f>
        <v>190732.5</v>
      </c>
      <c r="E10" s="8">
        <f>'Runway and operating profit'!E7-'Runway and operating profit'!E9</f>
        <v>190732.5</v>
      </c>
      <c r="F10" s="8">
        <f>'Runway and operating profit'!F7-'Runway and operating profit'!F9</f>
        <v>190732.5</v>
      </c>
      <c r="G10" s="8">
        <f>'Runway and operating profit'!G7-'Runway and operating profit'!G9</f>
        <v>190732.5</v>
      </c>
      <c r="H10" s="8">
        <f>'Runway and operating profit'!H7-'Runway and operating profit'!H9</f>
        <v>190732.5</v>
      </c>
      <c r="I10" s="8">
        <f>'Runway and operating profit'!I7-'Runway and operating profit'!I9</f>
        <v>190732.5</v>
      </c>
      <c r="J10" s="8">
        <f>'Runway and operating profit'!J7-'Runway and operating profit'!J9</f>
        <v>190732.5</v>
      </c>
      <c r="K10" s="8">
        <f>'Runway and operating profit'!K7-'Runway and operating profit'!K9</f>
        <v>190732.5</v>
      </c>
      <c r="L10" s="8">
        <f>'Runway and operating profit'!L7-'Runway and operating profit'!L9</f>
        <v>190732.5</v>
      </c>
      <c r="M10" s="8">
        <f>'Runway and operating profit'!M7-'Runway and operating profit'!M9</f>
        <v>190732.5</v>
      </c>
    </row>
    <row r="11">
      <c r="A11" t="inlineStr" s="7">
        <is>
          <t xml:space="preserve">NS opening cash</t>
        </is>
      </c>
      <c r="B11" s="8">
        <f>IF('Pricing and editable planning i'!B17="","",'Pricing and editable planning i'!B17)</f>
        <v>300000</v>
      </c>
      <c r="C11" s="8">
        <f>IF('Runway and operating profit'!B12="","",'Runway and operating profit'!B12)</f>
        <v>490732.5</v>
      </c>
      <c r="D11" s="8">
        <f>IF('Runway and operating profit'!C12="","",'Runway and operating profit'!C12)</f>
        <v>681465</v>
      </c>
      <c r="E11" s="8">
        <f>IF('Runway and operating profit'!D12="","",'Runway and operating profit'!D12)</f>
        <v>872197.5</v>
      </c>
      <c r="F11" s="8">
        <f>IF('Runway and operating profit'!E12="","",'Runway and operating profit'!E12)</f>
        <v>1062930</v>
      </c>
      <c r="G11" s="8">
        <f>IF('Runway and operating profit'!F12="","",'Runway and operating profit'!F12)</f>
        <v>1253662.5</v>
      </c>
      <c r="H11" s="8">
        <f>IF('Runway and operating profit'!G12="","",'Runway and operating profit'!G12)</f>
        <v>1444395</v>
      </c>
      <c r="I11" s="8">
        <f>IF('Runway and operating profit'!H12="","",'Runway and operating profit'!H12)</f>
        <v>1635127.5</v>
      </c>
      <c r="J11" s="8">
        <f>IF('Runway and operating profit'!I12="","",'Runway and operating profit'!I12)</f>
        <v>1825860</v>
      </c>
      <c r="K11" s="8">
        <f>IF('Runway and operating profit'!J12="","",'Runway and operating profit'!J12)</f>
        <v>2016592.5</v>
      </c>
      <c r="L11" s="8">
        <f>IF('Runway and operating profit'!K12="","",'Runway and operating profit'!K12)</f>
        <v>2207325</v>
      </c>
      <c r="M11" s="8">
        <f>IF('Runway and operating profit'!L12="","",'Runway and operating profit'!L12)</f>
        <v>2398057.5</v>
      </c>
    </row>
    <row r="12">
      <c r="A12" t="inlineStr" s="7">
        <is>
          <t xml:space="preserve">NS closing cash</t>
        </is>
      </c>
      <c r="B12" s="8">
        <f>'Runway and operating profit'!B11+'Runway and operating profit'!B10</f>
        <v>490732.5</v>
      </c>
      <c r="C12" s="8">
        <f>'Runway and operating profit'!C11+'Runway and operating profit'!C10</f>
        <v>681465</v>
      </c>
      <c r="D12" s="8">
        <f>'Runway and operating profit'!D11+'Runway and operating profit'!D10</f>
        <v>872197.5</v>
      </c>
      <c r="E12" s="8">
        <f>'Runway and operating profit'!E11+'Runway and operating profit'!E10</f>
        <v>1062930</v>
      </c>
      <c r="F12" s="8">
        <f>'Runway and operating profit'!F11+'Runway and operating profit'!F10</f>
        <v>1253662.5</v>
      </c>
      <c r="G12" s="8">
        <f>'Runway and operating profit'!G11+'Runway and operating profit'!G10</f>
        <v>1444395</v>
      </c>
      <c r="H12" s="8">
        <f>'Runway and operating profit'!H11+'Runway and operating profit'!H10</f>
        <v>1635127.5</v>
      </c>
      <c r="I12" s="8">
        <f>'Runway and operating profit'!I11+'Runway and operating profit'!I10</f>
        <v>1825860</v>
      </c>
      <c r="J12" s="8">
        <f>'Runway and operating profit'!J11+'Runway and operating profit'!J10</f>
        <v>2016592.5</v>
      </c>
      <c r="K12" s="8">
        <f>'Runway and operating profit'!K11+'Runway and operating profit'!K10</f>
        <v>2207325</v>
      </c>
      <c r="L12" s="8">
        <f>'Runway and operating profit'!L11+'Runway and operating profit'!L10</f>
        <v>2398057.5</v>
      </c>
      <c r="M12" s="8">
        <f>'Runway and operating profit'!M11+'Runway and operating profit'!M10</f>
        <v>2588790</v>
      </c>
    </row>
    <row r="13">
      <c r="A13" t="inlineStr" s="7">
        <is>
          <t xml:space="preserve">NS monthly burn</t>
        </is>
      </c>
      <c r="B13" s="8">
        <f>MAX(0,-'Runway and operating profit'!B10)</f>
        <v>0</v>
      </c>
      <c r="C13" s="8">
        <f>MAX(0,-'Runway and operating profit'!C10)</f>
        <v>0</v>
      </c>
      <c r="D13" s="8">
        <f>MAX(0,-'Runway and operating profit'!D10)</f>
        <v>0</v>
      </c>
      <c r="E13" s="8">
        <f>MAX(0,-'Runway and operating profit'!E10)</f>
        <v>0</v>
      </c>
      <c r="F13" s="8">
        <f>MAX(0,-'Runway and operating profit'!F10)</f>
        <v>0</v>
      </c>
      <c r="G13" s="8">
        <f>MAX(0,-'Runway and operating profit'!G10)</f>
        <v>0</v>
      </c>
      <c r="H13" s="8">
        <f>MAX(0,-'Runway and operating profit'!H10)</f>
        <v>0</v>
      </c>
      <c r="I13" s="8">
        <f>MAX(0,-'Runway and operating profit'!I10)</f>
        <v>0</v>
      </c>
      <c r="J13" s="8">
        <f>MAX(0,-'Runway and operating profit'!J10)</f>
        <v>0</v>
      </c>
      <c r="K13" s="8">
        <f>MAX(0,-'Runway and operating profit'!K10)</f>
        <v>0</v>
      </c>
      <c r="L13" s="8">
        <f>MAX(0,-'Runway and operating profit'!L10)</f>
        <v>0</v>
      </c>
      <c r="M13" s="8">
        <f>MAX(0,-'Runway and operating profit'!M10)</f>
        <v>0</v>
      </c>
    </row>
    <row r="14">
      <c r="A14" t="inlineStr" s="5">
        <is>
          <t xml:space="preserve">NS cash runway months</t>
        </is>
      </c>
      <c r="B14" t="str" s="15">
        <f>IF(IF(IF(ISERROR('Runway and operating profit'!B13&gt;0),'Runway and operating profit'!B13&gt;0,IF('Runway and operating profit'!B13="","",'Runway and operating profit'!B13&gt;0))="",FALSE,IF(ISERROR('Runway and operating profit'!B13&gt;0),'Runway and operating profit'!B13&gt;0,IF('Runway and operating profit'!B13="","",'Runway and operating profit'!B13&gt;0))),'Runway and operating profit'!B12/'Runway and operating profit'!B13,"")</f>
        <v/>
      </c>
      <c r="C14" t="str" s="15">
        <f>IF(IF(IF(ISERROR('Runway and operating profit'!C13&gt;0),'Runway and operating profit'!C13&gt;0,IF('Runway and operating profit'!C13="","",'Runway and operating profit'!C13&gt;0))="",FALSE,IF(ISERROR('Runway and operating profit'!C13&gt;0),'Runway and operating profit'!C13&gt;0,IF('Runway and operating profit'!C13="","",'Runway and operating profit'!C13&gt;0))),'Runway and operating profit'!C12/'Runway and operating profit'!C13,"")</f>
        <v/>
      </c>
      <c r="D14" t="str" s="15">
        <f>IF(IF(IF(ISERROR('Runway and operating profit'!D13&gt;0),'Runway and operating profit'!D13&gt;0,IF('Runway and operating profit'!D13="","",'Runway and operating profit'!D13&gt;0))="",FALSE,IF(ISERROR('Runway and operating profit'!D13&gt;0),'Runway and operating profit'!D13&gt;0,IF('Runway and operating profit'!D13="","",'Runway and operating profit'!D13&gt;0))),'Runway and operating profit'!D12/'Runway and operating profit'!D13,"")</f>
        <v/>
      </c>
      <c r="E14" t="str" s="15">
        <f>IF(IF(IF(ISERROR('Runway and operating profit'!E13&gt;0),'Runway and operating profit'!E13&gt;0,IF('Runway and operating profit'!E13="","",'Runway and operating profit'!E13&gt;0))="",FALSE,IF(ISERROR('Runway and operating profit'!E13&gt;0),'Runway and operating profit'!E13&gt;0,IF('Runway and operating profit'!E13="","",'Runway and operating profit'!E13&gt;0))),'Runway and operating profit'!E12/'Runway and operating profit'!E13,"")</f>
        <v/>
      </c>
      <c r="F14" t="str" s="15">
        <f>IF(IF(IF(ISERROR('Runway and operating profit'!F13&gt;0),'Runway and operating profit'!F13&gt;0,IF('Runway and operating profit'!F13="","",'Runway and operating profit'!F13&gt;0))="",FALSE,IF(ISERROR('Runway and operating profit'!F13&gt;0),'Runway and operating profit'!F13&gt;0,IF('Runway and operating profit'!F13="","",'Runway and operating profit'!F13&gt;0))),'Runway and operating profit'!F12/'Runway and operating profit'!F13,"")</f>
        <v/>
      </c>
      <c r="G14" t="str" s="15">
        <f>IF(IF(IF(ISERROR('Runway and operating profit'!G13&gt;0),'Runway and operating profit'!G13&gt;0,IF('Runway and operating profit'!G13="","",'Runway and operating profit'!G13&gt;0))="",FALSE,IF(ISERROR('Runway and operating profit'!G13&gt;0),'Runway and operating profit'!G13&gt;0,IF('Runway and operating profit'!G13="","",'Runway and operating profit'!G13&gt;0))),'Runway and operating profit'!G12/'Runway and operating profit'!G13,"")</f>
        <v/>
      </c>
      <c r="H14" t="str" s="15">
        <f>IF(IF(IF(ISERROR('Runway and operating profit'!H13&gt;0),'Runway and operating profit'!H13&gt;0,IF('Runway and operating profit'!H13="","",'Runway and operating profit'!H13&gt;0))="",FALSE,IF(ISERROR('Runway and operating profit'!H13&gt;0),'Runway and operating profit'!H13&gt;0,IF('Runway and operating profit'!H13="","",'Runway and operating profit'!H13&gt;0))),'Runway and operating profit'!H12/'Runway and operating profit'!H13,"")</f>
        <v/>
      </c>
      <c r="I14" t="str" s="15">
        <f>IF(IF(IF(ISERROR('Runway and operating profit'!I13&gt;0),'Runway and operating profit'!I13&gt;0,IF('Runway and operating profit'!I13="","",'Runway and operating profit'!I13&gt;0))="",FALSE,IF(ISERROR('Runway and operating profit'!I13&gt;0),'Runway and operating profit'!I13&gt;0,IF('Runway and operating profit'!I13="","",'Runway and operating profit'!I13&gt;0))),'Runway and operating profit'!I12/'Runway and operating profit'!I13,"")</f>
        <v/>
      </c>
      <c r="J14" t="str" s="15">
        <f>IF(IF(IF(ISERROR('Runway and operating profit'!J13&gt;0),'Runway and operating profit'!J13&gt;0,IF('Runway and operating profit'!J13="","",'Runway and operating profit'!J13&gt;0))="",FALSE,IF(ISERROR('Runway and operating profit'!J13&gt;0),'Runway and operating profit'!J13&gt;0,IF('Runway and operating profit'!J13="","",'Runway and operating profit'!J13&gt;0))),'Runway and operating profit'!J12/'Runway and operating profit'!J13,"")</f>
        <v/>
      </c>
      <c r="K14" t="str" s="15">
        <f>IF(IF(IF(ISERROR('Runway and operating profit'!K13&gt;0),'Runway and operating profit'!K13&gt;0,IF('Runway and operating profit'!K13="","",'Runway and operating profit'!K13&gt;0))="",FALSE,IF(ISERROR('Runway and operating profit'!K13&gt;0),'Runway and operating profit'!K13&gt;0,IF('Runway and operating profit'!K13="","",'Runway and operating profit'!K13&gt;0))),'Runway and operating profit'!K12/'Runway and operating profit'!K13,"")</f>
        <v/>
      </c>
      <c r="L14" t="str" s="15">
        <f>IF(IF(IF(ISERROR('Runway and operating profit'!L13&gt;0),'Runway and operating profit'!L13&gt;0,IF('Runway and operating profit'!L13="","",'Runway and operating profit'!L13&gt;0))="",FALSE,IF(ISERROR('Runway and operating profit'!L13&gt;0),'Runway and operating profit'!L13&gt;0,IF('Runway and operating profit'!L13="","",'Runway and operating profit'!L13&gt;0))),'Runway and operating profit'!L12/'Runway and operating profit'!L13,"")</f>
        <v/>
      </c>
      <c r="M14" t="str" s="15">
        <f>IF(IF(IF(ISERROR('Runway and operating profit'!M13&gt;0),'Runway and operating profit'!M13&gt;0,IF('Runway and operating profit'!M13="","",'Runway and operating profit'!M13&gt;0))="",FALSE,IF(ISERROR('Runway and operating profit'!M13&gt;0),'Runway and operating profit'!M13&gt;0,IF('Runway and operating profit'!M13="","",'Runway and operating profit'!M13&gt;0))),'Runway and operating profit'!M12/'Runway and operating profit'!M13,"")</f>
        <v/>
      </c>
    </row>
  </sheetData>
  <mergeCells count="1">
    <mergeCell ref="A1:M1"/>
  </mergeCells>
</worksheet>
</file>

<file path=xl/worksheets/sheet5.xml><?xml version="1.0" encoding="utf-8"?>
<worksheet xmlns="http://schemas.openxmlformats.org/spreadsheetml/2006/main">
  <dimension ref="A1:D9"/>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s>
  <sheetData>
    <row r="1" ht="32" customHeight="1">
      <c r="A1" t="inlineStr" s="1">
        <is>
          <t xml:space="preserve">Year 1 scenario comparison</t>
        </is>
      </c>
    </row>
    <row r="2" ht="20" customHeight="1">
      <c r="A2" t="inlineStr" s="2">
        <is>
          <t xml:space="preserve">NaukriShield — Business Plan · Main Scenario</t>
        </is>
      </c>
    </row>
    <row r="4" ht="22" customHeight="1">
      <c r="A4" t="inlineStr" s="3">
        <is>
          <t xml:space="preserve">Variable / dimension</t>
        </is>
      </c>
      <c r="B4" t="inlineStr" s="4">
        <is>
          <t xml:space="preserve">Value</t>
        </is>
      </c>
      <c r="C4" t="inlineStr" s="4">
        <is>
          <t xml:space="preserve">Value &gt; NaukriShield — Downside</t>
        </is>
      </c>
      <c r="D4" t="inlineStr" s="4">
        <is>
          <t xml:space="preserve">Value &gt; NaukriShield — Upside</t>
        </is>
      </c>
    </row>
    <row r="5">
      <c r="A5" t="inlineStr" s="5">
        <is>
          <t xml:space="preserve">NS Year 1 revenue</t>
        </is>
      </c>
      <c r="B5" s="11">
        <f>SUM('Monthly revenue and check costs'!B5,'Monthly revenue and check costs'!C5,'Monthly revenue and check costs'!D5,'Monthly revenue and check costs'!E5,'Monthly revenue and check costs'!F5,'Monthly revenue and check costs'!G5,'Monthly revenue and check costs'!H5,'Monthly revenue and check costs'!I5,'Monthly revenue and check costs'!J5,'Monthly revenue and check costs'!K5,'Monthly revenue and check costs'!L5,'Monthly revenue and check costs'!M5)</f>
        <v>2667600</v>
      </c>
      <c r="C5" s="11">
        <f>SUM('Model inputs'!N38,'Model inputs'!O38,'Model inputs'!P38,'Model inputs'!Q38,'Model inputs'!R38,'Model inputs'!S38,'Model inputs'!T38,'Model inputs'!U38,'Model inputs'!V38,'Model inputs'!W38,'Model inputs'!X38,'Model inputs'!Y38)</f>
        <v>119760</v>
      </c>
      <c r="D5" s="11">
        <f>SUM('Model inputs'!N37,'Model inputs'!O37,'Model inputs'!P37,'Model inputs'!Q37,'Model inputs'!R37,'Model inputs'!S37,'Model inputs'!T37,'Model inputs'!U37,'Model inputs'!V37,'Model inputs'!W37,'Model inputs'!X37,'Model inputs'!Y37)</f>
        <v>4736400</v>
      </c>
    </row>
    <row r="6">
      <c r="A6" t="inlineStr" s="7">
        <is>
          <t xml:space="preserve">NS Year 1 check costs</t>
        </is>
      </c>
      <c r="B6" s="8">
        <f>SUM('Monthly revenue and check costs'!B13,'Monthly revenue and check costs'!C13,'Monthly revenue and check costs'!D13,'Monthly revenue and check costs'!E13,'Monthly revenue and check costs'!F13,'Monthly revenue and check costs'!G13,'Monthly revenue and check costs'!H13,'Monthly revenue and check costs'!I13,'Monthly revenue and check costs'!J13,'Monthly revenue and check costs'!K13,'Monthly revenue and check costs'!L13,'Monthly revenue and check costs'!M13)</f>
        <v>202500</v>
      </c>
      <c r="C6" s="8">
        <f>SUM('Model inputs'!N26,'Model inputs'!O26,'Model inputs'!P26,'Model inputs'!Q26,'Model inputs'!R26,'Model inputs'!S26,'Model inputs'!T26,'Model inputs'!U26,'Model inputs'!V26,'Model inputs'!W26,'Model inputs'!X26,'Model inputs'!Y26)</f>
        <v>86400</v>
      </c>
      <c r="D6" s="8">
        <f>SUM('Model inputs'!N25,'Model inputs'!O25,'Model inputs'!P25,'Model inputs'!Q25,'Model inputs'!R25,'Model inputs'!S25,'Model inputs'!T25,'Model inputs'!U25,'Model inputs'!V25,'Model inputs'!W25,'Model inputs'!X25,'Model inputs'!Y25)</f>
        <v>459000</v>
      </c>
    </row>
    <row r="7">
      <c r="A7" t="inlineStr" s="7">
        <is>
          <t xml:space="preserve">NS Year 1 gross margin</t>
        </is>
      </c>
      <c r="B7" s="12">
        <f>IFERROR(('Year 1 scenario comparison'!B5-'Year 1 scenario comparison'!B6)/'Year 1 scenario comparison'!B5,"")</f>
        <v>0.9240890688259109</v>
      </c>
      <c r="C7" s="12">
        <f>IFERROR(('Year 1 scenario comparison'!C5-'Year 1 scenario comparison'!C6)/'Year 1 scenario comparison'!C5,"")</f>
        <v>0.2785571142284569</v>
      </c>
      <c r="D7" s="12">
        <f>IFERROR(('Year 1 scenario comparison'!D5-'Year 1 scenario comparison'!D6)/'Year 1 scenario comparison'!D5,"")</f>
        <v>0.9030909551558145</v>
      </c>
    </row>
    <row r="8">
      <c r="A8" t="inlineStr" s="7">
        <is>
          <t xml:space="preserve">NS Year 1 operating profit</t>
        </is>
      </c>
      <c r="B8" s="8">
        <f>SUM('Runway and operating profit'!B10,'Runway and operating profit'!C10,'Runway and operating profit'!D10,'Runway and operating profit'!E10,'Runway and operating profit'!F10,'Runway and operating profit'!G10,'Runway and operating profit'!H10,'Runway and operating profit'!I10,'Runway and operating profit'!J10,'Runway and operating profit'!K10,'Runway and operating profit'!L10,'Runway and operating profit'!M10)</f>
        <v>2288790</v>
      </c>
      <c r="C8" s="8">
        <f>SUM('Model inputs'!N31,'Model inputs'!O31,'Model inputs'!P31,'Model inputs'!Q31,'Model inputs'!R31,'Model inputs'!S31,'Model inputs'!T31,'Model inputs'!U31,'Model inputs'!V31,'Model inputs'!W31,'Model inputs'!X31,'Model inputs'!Y31)</f>
        <v>-142950</v>
      </c>
      <c r="D8" s="8">
        <f>SUM('Model inputs'!N30,'Model inputs'!O30,'Model inputs'!P30,'Model inputs'!Q30,'Model inputs'!R30,'Model inputs'!S30,'Model inputs'!T30,'Model inputs'!U30,'Model inputs'!V30,'Model inputs'!W30,'Model inputs'!X30,'Model inputs'!Y30)</f>
        <v>4101090</v>
      </c>
    </row>
    <row r="9">
      <c r="A9" t="inlineStr" s="5">
        <is>
          <t xml:space="preserve">NS starting cash runway months</t>
        </is>
      </c>
      <c r="B9" t="str" s="15">
        <f>IF(IF(IF(ISERROR('Year 1 scenario comparison'!B8&lt;0),'Year 1 scenario comparison'!B8&lt;0,IF('Year 1 scenario comparison'!B8="","",'Year 1 scenario comparison'!B8&lt;0))="",FALSE,IF(ISERROR('Year 1 scenario comparison'!B8&lt;0),'Year 1 scenario comparison'!B8&lt;0,IF('Year 1 scenario comparison'!B8="","",'Year 1 scenario comparison'!B8&lt;0))),'Pricing and editable planning i'!B17/(-'Year 1 scenario comparison'!B8/12),"")</f>
        <v/>
      </c>
      <c r="C9" s="15">
        <f>IF(IF(IF(ISERROR('Year 1 scenario comparison'!C8&lt;0),'Year 1 scenario comparison'!C8&lt;0,IF('Year 1 scenario comparison'!C8="","",'Year 1 scenario comparison'!C8&lt;0))="",FALSE,IF(ISERROR('Year 1 scenario comparison'!C8&lt;0),'Year 1 scenario comparison'!C8&lt;0,IF('Year 1 scenario comparison'!C8="","",'Year 1 scenario comparison'!C8&lt;0))),'Model inputs'!B42/(-'Year 1 scenario comparison'!C8/12),"")</f>
        <v>25.183630640083944</v>
      </c>
      <c r="D9" t="str" s="15">
        <f>IF(IF(IF(ISERROR('Year 1 scenario comparison'!D8&lt;0),'Year 1 scenario comparison'!D8&lt;0,IF('Year 1 scenario comparison'!D8="","",'Year 1 scenario comparison'!D8&lt;0))="",FALSE,IF(ISERROR('Year 1 scenario comparison'!D8&lt;0),'Year 1 scenario comparison'!D8&lt;0,IF('Year 1 scenario comparison'!D8="","",'Year 1 scenario comparison'!D8&lt;0))),'Model inputs'!B41/(-'Year 1 scenario comparison'!D8/12),"")</f>
        <v/>
      </c>
    </row>
  </sheetData>
  <mergeCells count="1">
    <mergeCell ref="A1:D1"/>
  </mergeCells>
</worksheet>
</file>

<file path=xl/worksheets/sheet6.xml><?xml version="1.0" encoding="utf-8"?>
<worksheet xmlns="http://schemas.openxmlformats.org/spreadsheetml/2006/main">
  <dimension ref="A1:AA118"/>
  <sheetViews>
    <sheetView showGridLines="0" workbookViewId="0">
      <pane xSplit="1" ySplit="5" topLeftCell="B6" activePane="bottomRight" state="frozen"/>
      <selection pane="bottomRight" activeCell="B6" sqref="B6"/>
    </sheetView>
  </sheetViews>
  <sheetFormatPr defaultRowHeight="18"/>
  <cols>
    <col min="1" max="1" width="42"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s>
  <sheetData>
    <row r="1" ht="32" customHeight="1">
      <c r="A1" t="inlineStr" s="1">
        <is>
          <t xml:space="preserve">Model inputs</t>
        </is>
      </c>
    </row>
    <row r="2" ht="20" customHeight="1">
      <c r="A2" t="inlineStr" s="2">
        <is>
          <t xml:space="preserve">Integration values are aggregated snapshots; raw source records are not included.</t>
        </is>
      </c>
    </row>
    <row r="4">
      <c r="A4" t="inlineStr" s="16">
        <is>
          <t xml:space="preserve">Variables</t>
        </is>
      </c>
    </row>
    <row r="5" ht="22" customHeight="1">
      <c r="A5" t="inlineStr" s="3">
        <is>
          <t xml:space="preserve">Variable / segment</t>
        </is>
      </c>
      <c r="B5" t="inlineStr" s="4">
        <is>
          <t xml:space="preserve">Value</t>
        </is>
      </c>
      <c r="C5" t="inlineStr" s="4">
        <is>
          <t xml:space="preserve">Value</t>
        </is>
      </c>
      <c r="D5" t="inlineStr" s="13">
        <is>
          <t xml:space="preserve">2026-01</t>
        </is>
      </c>
      <c r="E5" t="inlineStr" s="4">
        <is>
          <t xml:space="preserve">2026-02</t>
        </is>
      </c>
      <c r="F5" t="inlineStr" s="4">
        <is>
          <t xml:space="preserve">2026-03</t>
        </is>
      </c>
      <c r="G5" t="inlineStr" s="13">
        <is>
          <t xml:space="preserve">2026-04</t>
        </is>
      </c>
      <c r="H5" t="inlineStr" s="4">
        <is>
          <t xml:space="preserve">2026-05</t>
        </is>
      </c>
      <c r="I5" t="inlineStr" s="4">
        <is>
          <t xml:space="preserve">2026-06</t>
        </is>
      </c>
      <c r="J5" t="inlineStr" s="13">
        <is>
          <t xml:space="preserve">2026-07</t>
        </is>
      </c>
      <c r="K5" t="inlineStr" s="4">
        <is>
          <t xml:space="preserve">2026-08</t>
        </is>
      </c>
      <c r="L5" t="inlineStr" s="4">
        <is>
          <t xml:space="preserve">2026-09</t>
        </is>
      </c>
      <c r="M5" t="inlineStr" s="13">
        <is>
          <t xml:space="preserve">2026-10</t>
        </is>
      </c>
      <c r="N5" t="inlineStr" s="4">
        <is>
          <t xml:space="preserve">2026-11</t>
        </is>
      </c>
      <c r="O5" t="inlineStr" s="4">
        <is>
          <t xml:space="preserve">2026-12</t>
        </is>
      </c>
      <c r="P5" t="inlineStr" s="13">
        <is>
          <t xml:space="preserve">2027-01</t>
        </is>
      </c>
      <c r="Q5" t="inlineStr" s="4">
        <is>
          <t xml:space="preserve">2027-02</t>
        </is>
      </c>
      <c r="R5" t="inlineStr" s="4">
        <is>
          <t xml:space="preserve">2027-03</t>
        </is>
      </c>
      <c r="S5" t="inlineStr" s="13">
        <is>
          <t xml:space="preserve">2027-04</t>
        </is>
      </c>
      <c r="T5" t="inlineStr" s="4">
        <is>
          <t xml:space="preserve">2027-05</t>
        </is>
      </c>
      <c r="U5" t="inlineStr" s="4">
        <is>
          <t xml:space="preserve">2027-06</t>
        </is>
      </c>
      <c r="V5" t="inlineStr" s="13">
        <is>
          <t xml:space="preserve">2027-07</t>
        </is>
      </c>
      <c r="W5" t="inlineStr" s="4">
        <is>
          <t xml:space="preserve">2027-08</t>
        </is>
      </c>
      <c r="X5" t="inlineStr" s="4">
        <is>
          <t xml:space="preserve">2027-09</t>
        </is>
      </c>
      <c r="Y5" t="inlineStr" s="13">
        <is>
          <t xml:space="preserve">2027-10</t>
        </is>
      </c>
      <c r="Z5" t="inlineStr" s="4">
        <is>
          <t xml:space="preserve">2027-11</t>
        </is>
      </c>
      <c r="AA5" t="inlineStr" s="4">
        <is>
          <t xml:space="preserve">2027-12</t>
        </is>
      </c>
    </row>
    <row r="6">
      <c r="A6" t="inlineStr" s="17">
        <is>
          <t xml:space="preserve">Active free students · Year 1 totals and 45-cafe break-even</t>
        </is>
      </c>
      <c r="B6" s="10">
        <f>'Pricing and editable planning i'!B14</f>
        <v>1000</v>
      </c>
    </row>
    <row r="7">
      <c r="A7" t="inlineStr" s="17">
        <is>
          <t xml:space="preserve">Active free students · Monthly revenue and check costs</t>
        </is>
      </c>
      <c r="C7" s="10">
        <f>'Pricing and editable planning i'!B14</f>
        <v>1000</v>
      </c>
    </row>
    <row r="8">
      <c r="A8" t="inlineStr" s="17">
        <is>
          <t xml:space="preserve">API check price · Year 1 totals and 45-cafe break-even</t>
        </is>
      </c>
      <c r="B8" s="8">
        <f>'Pricing and editable planning i'!B7</f>
        <v>49</v>
      </c>
    </row>
    <row r="9">
      <c r="A9" t="inlineStr" s="17">
        <is>
          <t xml:space="preserve">API check price · Monthly revenue and check costs</t>
        </is>
      </c>
      <c r="C9" s="8">
        <f>'Pricing and editable planning i'!B7</f>
        <v>49</v>
      </c>
    </row>
    <row r="10">
      <c r="A10" t="inlineStr" s="17">
        <is>
          <t xml:space="preserve">Cafe monthly price · Year 1 totals and 45-cafe break-even</t>
        </is>
      </c>
      <c r="B10" s="8">
        <f>'Pricing and editable planning i'!B6</f>
        <v>499</v>
      </c>
    </row>
    <row r="11">
      <c r="A11" t="inlineStr" s="17">
        <is>
          <t xml:space="preserve">Cafe monthly price · Monthly revenue and check costs</t>
        </is>
      </c>
      <c r="C11" s="8">
        <f>'Pricing and editable planning i'!B6</f>
        <v>499</v>
      </c>
    </row>
    <row r="12">
      <c r="A12" t="inlineStr" s="17">
        <is>
          <t xml:space="preserve">Checks per cafe per month · Year 1 totals and 45-cafe break-even</t>
        </is>
      </c>
      <c r="B12" s="10">
        <f>'Pricing and editable planning i'!B13</f>
        <v>10</v>
      </c>
    </row>
    <row r="13">
      <c r="A13" t="inlineStr" s="17">
        <is>
          <t xml:space="preserve">Checks per cafe per month · Monthly revenue and check costs</t>
        </is>
      </c>
      <c r="C13" s="10">
        <f>'Pricing and editable planning i'!B13</f>
        <v>10</v>
      </c>
    </row>
    <row r="14">
      <c r="A14" t="inlineStr" s="17">
        <is>
          <t xml:space="preserve">Checks per free student per month · Year 1 totals and 45-cafe break-even</t>
        </is>
      </c>
      <c r="B14" s="10">
        <f>'Pricing and editable planning i'!B15</f>
        <v>3</v>
      </c>
    </row>
    <row r="15">
      <c r="A15" t="inlineStr" s="17">
        <is>
          <t xml:space="preserve">Checks per free student per month · Monthly revenue and check costs</t>
        </is>
      </c>
      <c r="C15" s="10">
        <f>'Pricing and editable planning i'!B15</f>
        <v>3</v>
      </c>
    </row>
    <row r="16">
      <c r="A16" t="inlineStr" s="17">
        <is>
          <t xml:space="preserve">Cost per check · Year 1 totals and 45-cafe break-even</t>
        </is>
      </c>
      <c r="B16" s="9">
        <f>'Model inputs'!B49+'Model inputs'!B48</f>
        <v>2.25</v>
      </c>
    </row>
    <row r="17">
      <c r="A17" t="inlineStr" s="17">
        <is>
          <t xml:space="preserve">Cost per check · Monthly revenue and check costs</t>
        </is>
      </c>
      <c r="C17" s="9">
        <f>'Model inputs'!B49+'Model inputs'!B48</f>
        <v>2.25</v>
      </c>
    </row>
    <row r="18">
      <c r="A18" t="inlineStr" s="17">
        <is>
          <t xml:space="preserve">Monthly non-check overhead · Year 1 totals and 45-cafe break-even</t>
        </is>
      </c>
      <c r="B18" s="9">
        <f>'Pricing and editable planning i'!B16</f>
        <v>14692.5</v>
      </c>
    </row>
    <row r="19">
      <c r="A19" t="inlineStr" s="17">
        <is>
          <t xml:space="preserve">Monthly non-check overhead · Runway and operating profit</t>
        </is>
      </c>
      <c r="C19" s="9">
        <f>'Pricing and editable planning i'!B16</f>
        <v>14692.5</v>
      </c>
    </row>
    <row r="20">
      <c r="A20" t="inlineStr" s="17">
        <is>
          <t xml:space="preserve">NS check costs · by  · Year 1 totals and 45-cafe break-even · Main Scenario</t>
        </is>
      </c>
      <c r="D20" s="8">
        <f>SUM('Model inputs'!D22,'Model inputs'!D23,'Model inputs'!D24)</f>
        <v>0</v>
      </c>
      <c r="E20" s="8">
        <f>SUM('Model inputs'!E22,'Model inputs'!E23,'Model inputs'!E24)</f>
        <v>0</v>
      </c>
      <c r="F20" s="8">
        <f>SUM('Model inputs'!F22,'Model inputs'!F23,'Model inputs'!F24)</f>
        <v>0</v>
      </c>
      <c r="G20" s="8">
        <f>SUM('Model inputs'!G22,'Model inputs'!G23,'Model inputs'!G24)</f>
        <v>0</v>
      </c>
      <c r="H20" s="8">
        <f>SUM('Model inputs'!H22,'Model inputs'!H23,'Model inputs'!H24)</f>
        <v>0</v>
      </c>
      <c r="I20" s="8">
        <f>SUM('Model inputs'!I22,'Model inputs'!I23,'Model inputs'!I24)</f>
        <v>0</v>
      </c>
      <c r="J20" s="8">
        <f>SUM('Model inputs'!J22,'Model inputs'!J23,'Model inputs'!J24)</f>
        <v>0</v>
      </c>
      <c r="K20" s="8">
        <f>SUM('Model inputs'!K22,'Model inputs'!K23,'Model inputs'!K24)</f>
        <v>0</v>
      </c>
      <c r="L20" s="8">
        <f>SUM('Model inputs'!L22,'Model inputs'!L23,'Model inputs'!L24)</f>
        <v>0</v>
      </c>
      <c r="M20" s="8">
        <f>SUM('Model inputs'!M22,'Model inputs'!M23,'Model inputs'!M24)</f>
        <v>16875</v>
      </c>
      <c r="N20" s="8">
        <f>SUM('Model inputs'!N22,'Model inputs'!N23,'Model inputs'!N24)</f>
        <v>16875</v>
      </c>
      <c r="O20" s="8">
        <f>SUM('Model inputs'!O22,'Model inputs'!O23,'Model inputs'!O24)</f>
        <v>16875</v>
      </c>
      <c r="P20" s="8">
        <f>SUM('Model inputs'!P22,'Model inputs'!P23,'Model inputs'!P24)</f>
        <v>16875</v>
      </c>
      <c r="Q20" s="8">
        <f>SUM('Model inputs'!Q22,'Model inputs'!Q23,'Model inputs'!Q24)</f>
        <v>16875</v>
      </c>
      <c r="R20" s="8">
        <f>SUM('Model inputs'!R22,'Model inputs'!R23,'Model inputs'!R24)</f>
        <v>16875</v>
      </c>
      <c r="S20" s="8">
        <f>SUM('Model inputs'!S22,'Model inputs'!S23,'Model inputs'!S24)</f>
        <v>16875</v>
      </c>
      <c r="T20" s="8">
        <f>SUM('Model inputs'!T22,'Model inputs'!T23,'Model inputs'!T24)</f>
        <v>16875</v>
      </c>
      <c r="U20" s="8">
        <f>SUM('Model inputs'!U22,'Model inputs'!U23,'Model inputs'!U24)</f>
        <v>16875</v>
      </c>
      <c r="V20" s="8">
        <f>SUM('Model inputs'!V22,'Model inputs'!V23,'Model inputs'!V24)</f>
        <v>16875</v>
      </c>
      <c r="W20" s="8">
        <f>SUM('Model inputs'!W22,'Model inputs'!W23,'Model inputs'!W24)</f>
        <v>16875</v>
      </c>
      <c r="X20" s="8">
        <f>SUM('Model inputs'!X22,'Model inputs'!X23,'Model inputs'!X24)</f>
        <v>16875</v>
      </c>
      <c r="Y20" s="8">
        <f>SUM('Model inputs'!Y22,'Model inputs'!Y23,'Model inputs'!Y24)</f>
        <v>16875</v>
      </c>
      <c r="Z20" s="8">
        <f>SUM('Model inputs'!Z22,'Model inputs'!Z23,'Model inputs'!Z24)</f>
        <v>16875</v>
      </c>
      <c r="AA20" s="8">
        <f>SUM('Model inputs'!AA22,'Model inputs'!AA23,'Model inputs'!AA24)</f>
        <v>16875</v>
      </c>
    </row>
    <row r="21">
      <c r="A21" t="inlineStr" s="17">
        <is>
          <t xml:space="preserve">NS check costs</t>
        </is>
      </c>
      <c r="D21" s="11">
        <f>IF('Model inputs'!D20="","",'Model inputs'!D20)</f>
        <v>0</v>
      </c>
      <c r="E21" s="11">
        <f>IF('Model inputs'!E20="","",'Model inputs'!E20)</f>
        <v>0</v>
      </c>
      <c r="F21" s="11">
        <f>IF('Model inputs'!F20="","",'Model inputs'!F20)</f>
        <v>0</v>
      </c>
      <c r="G21" s="11">
        <f>IF('Model inputs'!G20="","",'Model inputs'!G20)</f>
        <v>0</v>
      </c>
      <c r="H21" s="11">
        <f>IF('Model inputs'!H20="","",'Model inputs'!H20)</f>
        <v>0</v>
      </c>
      <c r="I21" s="11">
        <f>IF('Model inputs'!I20="","",'Model inputs'!I20)</f>
        <v>0</v>
      </c>
      <c r="J21" s="11">
        <f>IF('Model inputs'!J20="","",'Model inputs'!J20)</f>
        <v>0</v>
      </c>
      <c r="K21" s="11">
        <f>IF('Model inputs'!K20="","",'Model inputs'!K20)</f>
        <v>0</v>
      </c>
      <c r="L21" s="11">
        <f>IF('Model inputs'!L20="","",'Model inputs'!L20)</f>
        <v>0</v>
      </c>
      <c r="M21" s="11">
        <f>IF('Model inputs'!M20="","",'Model inputs'!M20)</f>
        <v>16875</v>
      </c>
      <c r="N21" s="11">
        <f>IF('Model inputs'!N20="","",'Model inputs'!N20)</f>
        <v>16875</v>
      </c>
      <c r="O21" s="11">
        <f>IF('Model inputs'!O20="","",'Model inputs'!O20)</f>
        <v>16875</v>
      </c>
      <c r="P21" s="11">
        <f>IF('Model inputs'!P20="","",'Model inputs'!P20)</f>
        <v>16875</v>
      </c>
      <c r="Q21" s="11">
        <f>IF('Model inputs'!Q20="","",'Model inputs'!Q20)</f>
        <v>16875</v>
      </c>
      <c r="R21" s="11">
        <f>IF('Model inputs'!R20="","",'Model inputs'!R20)</f>
        <v>16875</v>
      </c>
      <c r="S21" s="11">
        <f>IF('Model inputs'!S20="","",'Model inputs'!S20)</f>
        <v>16875</v>
      </c>
      <c r="T21" s="11">
        <f>IF('Model inputs'!T20="","",'Model inputs'!T20)</f>
        <v>16875</v>
      </c>
      <c r="U21" s="11">
        <f>IF('Model inputs'!U20="","",'Model inputs'!U20)</f>
        <v>16875</v>
      </c>
      <c r="V21" s="11">
        <f>IF('Model inputs'!V20="","",'Model inputs'!V20)</f>
        <v>16875</v>
      </c>
      <c r="W21" s="11">
        <f>IF('Model inputs'!W20="","",'Model inputs'!W20)</f>
        <v>16875</v>
      </c>
      <c r="X21" s="11">
        <f>IF('Model inputs'!X20="","",'Model inputs'!X20)</f>
        <v>16875</v>
      </c>
      <c r="Y21" s="11">
        <f>IF('Model inputs'!Y20="","",'Model inputs'!Y20)</f>
        <v>16875</v>
      </c>
      <c r="Z21" s="11">
        <f>IF('Model inputs'!Z20="","",'Model inputs'!Z20)</f>
        <v>16875</v>
      </c>
      <c r="AA21" s="11">
        <f>IF('Model inputs'!AA20="","",'Model inputs'!AA20)</f>
        <v>16875</v>
      </c>
    </row>
    <row r="22" outlineLevel="1">
      <c r="A22" t="inlineStr" s="18">
        <is>
          <t xml:space="preserve">NS check costs &gt; API</t>
        </is>
      </c>
      <c r="D22" s="8">
        <f>0</f>
        <v>0</v>
      </c>
      <c r="E22" s="8">
        <f>0</f>
        <v>0</v>
      </c>
      <c r="F22" s="8">
        <f>0</f>
        <v>0</v>
      </c>
      <c r="G22" s="8">
        <f>0</f>
        <v>0</v>
      </c>
      <c r="H22" s="8">
        <f>0</f>
        <v>0</v>
      </c>
      <c r="I22" s="8">
        <f>0</f>
        <v>0</v>
      </c>
      <c r="J22" s="8">
        <f>0</f>
        <v>0</v>
      </c>
      <c r="K22" s="8">
        <f>0</f>
        <v>0</v>
      </c>
      <c r="L22" s="8">
        <f>0</f>
        <v>0</v>
      </c>
      <c r="M22" s="8">
        <f>'Model inputs'!M65*'Model inputs'!B16</f>
        <v>5625</v>
      </c>
      <c r="N22" s="8">
        <f>'Model inputs'!N51*'Model inputs'!B16</f>
        <v>5625</v>
      </c>
      <c r="O22" s="8">
        <f>'Model inputs'!O51*'Model inputs'!B16</f>
        <v>5625</v>
      </c>
      <c r="P22" s="8">
        <f>'Model inputs'!P51*'Model inputs'!B16</f>
        <v>5625</v>
      </c>
      <c r="Q22" s="8">
        <f>'Model inputs'!Q51*'Model inputs'!B16</f>
        <v>5625</v>
      </c>
      <c r="R22" s="8">
        <f>'Model inputs'!R51*'Model inputs'!B16</f>
        <v>5625</v>
      </c>
      <c r="S22" s="8">
        <f>'Model inputs'!S51*'Model inputs'!B16</f>
        <v>5625</v>
      </c>
      <c r="T22" s="8">
        <f>'Model inputs'!T51*'Model inputs'!B16</f>
        <v>5625</v>
      </c>
      <c r="U22" s="8">
        <f>'Model inputs'!U51*'Model inputs'!B16</f>
        <v>5625</v>
      </c>
      <c r="V22" s="8">
        <f>'Model inputs'!V51*'Model inputs'!B16</f>
        <v>5625</v>
      </c>
      <c r="W22" s="8">
        <f>'Model inputs'!W51*'Model inputs'!B16</f>
        <v>5625</v>
      </c>
      <c r="X22" s="8">
        <f>'Model inputs'!X51*'Model inputs'!B16</f>
        <v>5625</v>
      </c>
      <c r="Y22" s="8">
        <f>'Model inputs'!Y51*'Model inputs'!B16</f>
        <v>5625</v>
      </c>
      <c r="Z22" s="8">
        <f>'Model inputs'!Z65*'Model inputs'!B16</f>
        <v>5625</v>
      </c>
      <c r="AA22" s="8">
        <f>'Model inputs'!AA65*'Model inputs'!B16</f>
        <v>5625</v>
      </c>
    </row>
    <row r="23" outlineLevel="1">
      <c r="A23" t="inlineStr" s="18">
        <is>
          <t xml:space="preserve">NS check costs &gt; Cyber-cafes</t>
        </is>
      </c>
      <c r="D23" s="8">
        <f>0</f>
        <v>0</v>
      </c>
      <c r="E23" s="8">
        <f>0</f>
        <v>0</v>
      </c>
      <c r="F23" s="8">
        <f>0</f>
        <v>0</v>
      </c>
      <c r="G23" s="8">
        <f>0</f>
        <v>0</v>
      </c>
      <c r="H23" s="8">
        <f>0</f>
        <v>0</v>
      </c>
      <c r="I23" s="8">
        <f>0</f>
        <v>0</v>
      </c>
      <c r="J23" s="8">
        <f>0</f>
        <v>0</v>
      </c>
      <c r="K23" s="8">
        <f>0</f>
        <v>0</v>
      </c>
      <c r="L23" s="8">
        <f>0</f>
        <v>0</v>
      </c>
      <c r="M23" s="8">
        <f>'Model inputs'!M66*'Model inputs'!B16</f>
        <v>4500</v>
      </c>
      <c r="N23" s="8">
        <f>'Model inputs'!N52*'Model inputs'!B16</f>
        <v>4500</v>
      </c>
      <c r="O23" s="8">
        <f>'Model inputs'!O52*'Model inputs'!B16</f>
        <v>4500</v>
      </c>
      <c r="P23" s="8">
        <f>'Model inputs'!P52*'Model inputs'!B16</f>
        <v>4500</v>
      </c>
      <c r="Q23" s="8">
        <f>'Model inputs'!Q52*'Model inputs'!B16</f>
        <v>4500</v>
      </c>
      <c r="R23" s="8">
        <f>'Model inputs'!R52*'Model inputs'!B16</f>
        <v>4500</v>
      </c>
      <c r="S23" s="8">
        <f>'Model inputs'!S52*'Model inputs'!B16</f>
        <v>4500</v>
      </c>
      <c r="T23" s="8">
        <f>'Model inputs'!T52*'Model inputs'!B16</f>
        <v>4500</v>
      </c>
      <c r="U23" s="8">
        <f>'Model inputs'!U52*'Model inputs'!B16</f>
        <v>4500</v>
      </c>
      <c r="V23" s="8">
        <f>'Model inputs'!V52*'Model inputs'!B16</f>
        <v>4500</v>
      </c>
      <c r="W23" s="8">
        <f>'Model inputs'!W52*'Model inputs'!B16</f>
        <v>4500</v>
      </c>
      <c r="X23" s="8">
        <f>'Model inputs'!X52*'Model inputs'!B16</f>
        <v>4500</v>
      </c>
      <c r="Y23" s="8">
        <f>'Model inputs'!Y52*'Model inputs'!B16</f>
        <v>4500</v>
      </c>
      <c r="Z23" s="8">
        <f>'Model inputs'!Z66*'Model inputs'!B16</f>
        <v>4500</v>
      </c>
      <c r="AA23" s="8">
        <f>'Model inputs'!AA66*'Model inputs'!B16</f>
        <v>4500</v>
      </c>
    </row>
    <row r="24" outlineLevel="1">
      <c r="A24" t="inlineStr" s="18">
        <is>
          <t xml:space="preserve">NS check costs &gt; Students</t>
        </is>
      </c>
      <c r="D24" s="8">
        <f>0</f>
        <v>0</v>
      </c>
      <c r="E24" s="8">
        <f>0</f>
        <v>0</v>
      </c>
      <c r="F24" s="8">
        <f>0</f>
        <v>0</v>
      </c>
      <c r="G24" s="8">
        <f>0</f>
        <v>0</v>
      </c>
      <c r="H24" s="8">
        <f>0</f>
        <v>0</v>
      </c>
      <c r="I24" s="8">
        <f>0</f>
        <v>0</v>
      </c>
      <c r="J24" s="8">
        <f>0</f>
        <v>0</v>
      </c>
      <c r="K24" s="8">
        <f>0</f>
        <v>0</v>
      </c>
      <c r="L24" s="8">
        <f>0</f>
        <v>0</v>
      </c>
      <c r="M24" s="8">
        <f>'Model inputs'!M67*'Model inputs'!B16</f>
        <v>6750</v>
      </c>
      <c r="N24" s="8">
        <f>'Model inputs'!N53*'Model inputs'!B16</f>
        <v>6750</v>
      </c>
      <c r="O24" s="8">
        <f>'Model inputs'!O53*'Model inputs'!B16</f>
        <v>6750</v>
      </c>
      <c r="P24" s="8">
        <f>'Model inputs'!P53*'Model inputs'!B16</f>
        <v>6750</v>
      </c>
      <c r="Q24" s="8">
        <f>'Model inputs'!Q53*'Model inputs'!B16</f>
        <v>6750</v>
      </c>
      <c r="R24" s="8">
        <f>'Model inputs'!R53*'Model inputs'!B16</f>
        <v>6750</v>
      </c>
      <c r="S24" s="8">
        <f>'Model inputs'!S53*'Model inputs'!B16</f>
        <v>6750</v>
      </c>
      <c r="T24" s="8">
        <f>'Model inputs'!T53*'Model inputs'!B16</f>
        <v>6750</v>
      </c>
      <c r="U24" s="8">
        <f>'Model inputs'!U53*'Model inputs'!B16</f>
        <v>6750</v>
      </c>
      <c r="V24" s="8">
        <f>'Model inputs'!V53*'Model inputs'!B16</f>
        <v>6750</v>
      </c>
      <c r="W24" s="8">
        <f>'Model inputs'!W53*'Model inputs'!B16</f>
        <v>6750</v>
      </c>
      <c r="X24" s="8">
        <f>'Model inputs'!X53*'Model inputs'!B16</f>
        <v>6750</v>
      </c>
      <c r="Y24" s="8">
        <f>'Model inputs'!Y53*'Model inputs'!B16</f>
        <v>6750</v>
      </c>
      <c r="Z24" s="8">
        <f>'Model inputs'!Z67*'Model inputs'!B16</f>
        <v>6750</v>
      </c>
      <c r="AA24" s="8">
        <f>'Model inputs'!AA67*'Model inputs'!B16</f>
        <v>6750</v>
      </c>
    </row>
    <row r="25">
      <c r="A25" t="inlineStr" s="17">
        <is>
          <t xml:space="preserve">NS check costs · NaukriShield — Upside</t>
        </is>
      </c>
      <c r="D25" s="8">
        <f>SUM('Model inputs'!D57,'Model inputs'!D58,'Model inputs'!D59)</f>
        <v>0</v>
      </c>
      <c r="E25" s="8">
        <f>SUM('Model inputs'!E57,'Model inputs'!E58,'Model inputs'!E59)</f>
        <v>0</v>
      </c>
      <c r="F25" s="8">
        <f>SUM('Model inputs'!F57,'Model inputs'!F58,'Model inputs'!F59)</f>
        <v>0</v>
      </c>
      <c r="G25" s="8">
        <f>SUM('Model inputs'!G57,'Model inputs'!G58,'Model inputs'!G59)</f>
        <v>0</v>
      </c>
      <c r="H25" s="8">
        <f>SUM('Model inputs'!H57,'Model inputs'!H58,'Model inputs'!H59)</f>
        <v>0</v>
      </c>
      <c r="I25" s="8">
        <f>SUM('Model inputs'!I57,'Model inputs'!I58,'Model inputs'!I59)</f>
        <v>0</v>
      </c>
      <c r="J25" s="8">
        <f>SUM('Model inputs'!J57,'Model inputs'!J58,'Model inputs'!J59)</f>
        <v>0</v>
      </c>
      <c r="K25" s="8">
        <f>SUM('Model inputs'!K57,'Model inputs'!K58,'Model inputs'!K59)</f>
        <v>0</v>
      </c>
      <c r="L25" s="8">
        <f>SUM('Model inputs'!L57,'Model inputs'!L58,'Model inputs'!L59)</f>
        <v>0</v>
      </c>
      <c r="M25" s="8">
        <f>SUM('Model inputs'!M57,'Model inputs'!M58,'Model inputs'!M59)</f>
        <v>38250</v>
      </c>
      <c r="N25" s="8">
        <f>SUM('Model inputs'!N57,'Model inputs'!N58,'Model inputs'!N59)</f>
        <v>38250</v>
      </c>
      <c r="O25" s="8">
        <f>SUM('Model inputs'!O57,'Model inputs'!O58,'Model inputs'!O59)</f>
        <v>38250</v>
      </c>
      <c r="P25" s="8">
        <f>SUM('Model inputs'!P57,'Model inputs'!P58,'Model inputs'!P59)</f>
        <v>38250</v>
      </c>
      <c r="Q25" s="8">
        <f>SUM('Model inputs'!Q57,'Model inputs'!Q58,'Model inputs'!Q59)</f>
        <v>38250</v>
      </c>
      <c r="R25" s="8">
        <f>SUM('Model inputs'!R57,'Model inputs'!R58,'Model inputs'!R59)</f>
        <v>38250</v>
      </c>
      <c r="S25" s="8">
        <f>SUM('Model inputs'!S57,'Model inputs'!S58,'Model inputs'!S59)</f>
        <v>38250</v>
      </c>
      <c r="T25" s="8">
        <f>SUM('Model inputs'!T57,'Model inputs'!T58,'Model inputs'!T59)</f>
        <v>38250</v>
      </c>
      <c r="U25" s="8">
        <f>SUM('Model inputs'!U57,'Model inputs'!U58,'Model inputs'!U59)</f>
        <v>38250</v>
      </c>
      <c r="V25" s="8">
        <f>SUM('Model inputs'!V57,'Model inputs'!V58,'Model inputs'!V59)</f>
        <v>38250</v>
      </c>
      <c r="W25" s="8">
        <f>SUM('Model inputs'!W57,'Model inputs'!W58,'Model inputs'!W59)</f>
        <v>38250</v>
      </c>
      <c r="X25" s="8">
        <f>SUM('Model inputs'!X57,'Model inputs'!X58,'Model inputs'!X59)</f>
        <v>38250</v>
      </c>
      <c r="Y25" s="8">
        <f>SUM('Model inputs'!Y57,'Model inputs'!Y58,'Model inputs'!Y59)</f>
        <v>38250</v>
      </c>
      <c r="Z25" s="8">
        <f>SUM('Model inputs'!Z57,'Model inputs'!Z58,'Model inputs'!Z59)</f>
        <v>38250</v>
      </c>
      <c r="AA25" s="8">
        <f>SUM('Model inputs'!AA57,'Model inputs'!AA58,'Model inputs'!AA59)</f>
        <v>38250</v>
      </c>
    </row>
    <row r="26">
      <c r="A26" t="inlineStr" s="17">
        <is>
          <t xml:space="preserve">NS check costs · NaukriShield — Downside</t>
        </is>
      </c>
      <c r="D26" s="8">
        <f>SUM('Model inputs'!D61,'Model inputs'!D62,'Model inputs'!D63)</f>
        <v>0</v>
      </c>
      <c r="E26" s="8">
        <f>SUM('Model inputs'!E61,'Model inputs'!E62,'Model inputs'!E63)</f>
        <v>0</v>
      </c>
      <c r="F26" s="8">
        <f>SUM('Model inputs'!F61,'Model inputs'!F62,'Model inputs'!F63)</f>
        <v>0</v>
      </c>
      <c r="G26" s="8">
        <f>SUM('Model inputs'!G61,'Model inputs'!G62,'Model inputs'!G63)</f>
        <v>0</v>
      </c>
      <c r="H26" s="8">
        <f>SUM('Model inputs'!H61,'Model inputs'!H62,'Model inputs'!H63)</f>
        <v>0</v>
      </c>
      <c r="I26" s="8">
        <f>SUM('Model inputs'!I61,'Model inputs'!I62,'Model inputs'!I63)</f>
        <v>0</v>
      </c>
      <c r="J26" s="8">
        <f>SUM('Model inputs'!J61,'Model inputs'!J62,'Model inputs'!J63)</f>
        <v>0</v>
      </c>
      <c r="K26" s="8">
        <f>SUM('Model inputs'!K61,'Model inputs'!K62,'Model inputs'!K63)</f>
        <v>0</v>
      </c>
      <c r="L26" s="8">
        <f>SUM('Model inputs'!L61,'Model inputs'!L62,'Model inputs'!L63)</f>
        <v>0</v>
      </c>
      <c r="M26" s="8">
        <f>SUM('Model inputs'!M61,'Model inputs'!M62,'Model inputs'!M63)</f>
        <v>7200</v>
      </c>
      <c r="N26" s="8">
        <f>SUM('Model inputs'!N61,'Model inputs'!N62,'Model inputs'!N63)</f>
        <v>7200</v>
      </c>
      <c r="O26" s="8">
        <f>SUM('Model inputs'!O61,'Model inputs'!O62,'Model inputs'!O63)</f>
        <v>7200</v>
      </c>
      <c r="P26" s="8">
        <f>SUM('Model inputs'!P61,'Model inputs'!P62,'Model inputs'!P63)</f>
        <v>7200</v>
      </c>
      <c r="Q26" s="8">
        <f>SUM('Model inputs'!Q61,'Model inputs'!Q62,'Model inputs'!Q63)</f>
        <v>7200</v>
      </c>
      <c r="R26" s="8">
        <f>SUM('Model inputs'!R61,'Model inputs'!R62,'Model inputs'!R63)</f>
        <v>7200</v>
      </c>
      <c r="S26" s="8">
        <f>SUM('Model inputs'!S61,'Model inputs'!S62,'Model inputs'!S63)</f>
        <v>7200</v>
      </c>
      <c r="T26" s="8">
        <f>SUM('Model inputs'!T61,'Model inputs'!T62,'Model inputs'!T63)</f>
        <v>7200</v>
      </c>
      <c r="U26" s="8">
        <f>SUM('Model inputs'!U61,'Model inputs'!U62,'Model inputs'!U63)</f>
        <v>7200</v>
      </c>
      <c r="V26" s="8">
        <f>SUM('Model inputs'!V61,'Model inputs'!V62,'Model inputs'!V63)</f>
        <v>7200</v>
      </c>
      <c r="W26" s="8">
        <f>SUM('Model inputs'!W61,'Model inputs'!W62,'Model inputs'!W63)</f>
        <v>7200</v>
      </c>
      <c r="X26" s="8">
        <f>SUM('Model inputs'!X61,'Model inputs'!X62,'Model inputs'!X63)</f>
        <v>7200</v>
      </c>
      <c r="Y26" s="8">
        <f>SUM('Model inputs'!Y61,'Model inputs'!Y62,'Model inputs'!Y63)</f>
        <v>7200</v>
      </c>
      <c r="Z26" s="8">
        <f>SUM('Model inputs'!Z61,'Model inputs'!Z62,'Model inputs'!Z63)</f>
        <v>7200</v>
      </c>
      <c r="AA26" s="8">
        <f>SUM('Model inputs'!AA61,'Model inputs'!AA62,'Model inputs'!AA63)</f>
        <v>7200</v>
      </c>
    </row>
    <row r="27">
      <c r="A27" t="inlineStr" s="17">
        <is>
          <t xml:space="preserve">NS closing cash</t>
        </is>
      </c>
      <c r="K27" s="8">
        <v>0</v>
      </c>
      <c r="L27" s="8">
        <v>0</v>
      </c>
      <c r="M27" s="8">
        <f>'Model inputs'!M28+'Model inputs'!M29</f>
        <v>190732.5</v>
      </c>
      <c r="N27" s="8">
        <f>'Model inputs'!N28+'Model inputs'!N29</f>
        <v>490732.5</v>
      </c>
      <c r="O27" s="8">
        <f>'Model inputs'!O28+'Model inputs'!O29</f>
        <v>681465</v>
      </c>
      <c r="P27" s="8">
        <f>'Model inputs'!P28+'Model inputs'!P29</f>
        <v>872197.5</v>
      </c>
      <c r="Q27" s="8">
        <f>'Model inputs'!Q28+'Model inputs'!Q29</f>
        <v>1062930</v>
      </c>
      <c r="R27" s="8">
        <f>'Model inputs'!R28+'Model inputs'!R29</f>
        <v>1253662.5</v>
      </c>
      <c r="S27" s="8">
        <f>'Model inputs'!S28+'Model inputs'!S29</f>
        <v>1444395</v>
      </c>
      <c r="T27" s="8">
        <f>'Model inputs'!T28+'Model inputs'!T29</f>
        <v>1635127.5</v>
      </c>
      <c r="U27" s="8">
        <f>'Model inputs'!U28+'Model inputs'!U29</f>
        <v>1825860</v>
      </c>
      <c r="V27" s="8">
        <f>'Model inputs'!V28+'Model inputs'!V29</f>
        <v>2016592.5</v>
      </c>
      <c r="W27" s="8">
        <f>'Model inputs'!W28+'Model inputs'!W29</f>
        <v>2207325</v>
      </c>
      <c r="X27" s="8">
        <f>'Model inputs'!X28+'Model inputs'!X29</f>
        <v>2398057.5</v>
      </c>
      <c r="Y27" s="8">
        <f>'Model inputs'!Y28+'Model inputs'!Y29</f>
        <v>2588790</v>
      </c>
    </row>
    <row r="28">
      <c r="A28" t="inlineStr" s="17">
        <is>
          <t xml:space="preserve">NS opening cash</t>
        </is>
      </c>
      <c r="L28" s="8">
        <v>0</v>
      </c>
      <c r="M28" s="8">
        <f>IF('Model inputs'!L27="","",'Model inputs'!L27)</f>
        <v>0</v>
      </c>
      <c r="N28" s="8">
        <f>IF('Model inputs'!B39="","",'Model inputs'!B39)</f>
        <v>300000</v>
      </c>
      <c r="O28" s="8">
        <f>IF('Model inputs'!N27="","",'Model inputs'!N27)</f>
        <v>490732.5</v>
      </c>
      <c r="P28" s="8">
        <f>IF('Model inputs'!O27="","",'Model inputs'!O27)</f>
        <v>681465</v>
      </c>
      <c r="Q28" s="8">
        <f>IF('Model inputs'!P27="","",'Model inputs'!P27)</f>
        <v>872197.5</v>
      </c>
      <c r="R28" s="8">
        <f>IF('Model inputs'!Q27="","",'Model inputs'!Q27)</f>
        <v>1062930</v>
      </c>
      <c r="S28" s="8">
        <f>IF('Model inputs'!R27="","",'Model inputs'!R27)</f>
        <v>1253662.5</v>
      </c>
      <c r="T28" s="8">
        <f>IF('Model inputs'!S27="","",'Model inputs'!S27)</f>
        <v>1444395</v>
      </c>
      <c r="U28" s="8">
        <f>IF('Model inputs'!T27="","",'Model inputs'!T27)</f>
        <v>1635127.5</v>
      </c>
      <c r="V28" s="8">
        <f>IF('Model inputs'!U27="","",'Model inputs'!U27)</f>
        <v>1825860</v>
      </c>
      <c r="W28" s="8">
        <f>IF('Model inputs'!V27="","",'Model inputs'!V27)</f>
        <v>2016592.5</v>
      </c>
      <c r="X28" s="8">
        <f>IF('Model inputs'!W27="","",'Model inputs'!W27)</f>
        <v>2207325</v>
      </c>
      <c r="Y28" s="8">
        <f>IF('Model inputs'!X27="","",'Model inputs'!X27)</f>
        <v>2398057.5</v>
      </c>
    </row>
    <row r="29">
      <c r="A29" t="inlineStr" s="17">
        <is>
          <t xml:space="preserve">NS operating profit · Year 1 totals and 45-cafe break-even · Main Scenario</t>
        </is>
      </c>
      <c r="D29" s="8">
        <v>0</v>
      </c>
      <c r="E29" s="8">
        <v>0</v>
      </c>
      <c r="F29" s="8">
        <v>0</v>
      </c>
      <c r="G29" s="8">
        <v>0</v>
      </c>
      <c r="H29" s="8">
        <v>0</v>
      </c>
      <c r="I29" s="8">
        <v>0</v>
      </c>
      <c r="J29" s="8">
        <v>0</v>
      </c>
      <c r="K29" s="8">
        <v>0</v>
      </c>
      <c r="L29" s="8">
        <v>0</v>
      </c>
      <c r="M29" s="8">
        <f>'Model inputs'!M54-'Model inputs'!M55</f>
        <v>190732.5</v>
      </c>
      <c r="N29" s="8">
        <f>'Model inputs'!N54-'Model inputs'!N55</f>
        <v>190732.5</v>
      </c>
      <c r="O29" s="8">
        <f>'Model inputs'!O54-'Model inputs'!O55</f>
        <v>190732.5</v>
      </c>
      <c r="P29" s="8">
        <f>'Model inputs'!P54-'Model inputs'!P55</f>
        <v>190732.5</v>
      </c>
      <c r="Q29" s="8">
        <f>'Model inputs'!Q54-'Model inputs'!Q55</f>
        <v>190732.5</v>
      </c>
      <c r="R29" s="8">
        <f>'Model inputs'!R54-'Model inputs'!R55</f>
        <v>190732.5</v>
      </c>
      <c r="S29" s="8">
        <f>'Model inputs'!S54-'Model inputs'!S55</f>
        <v>190732.5</v>
      </c>
      <c r="T29" s="8">
        <f>'Model inputs'!T54-'Model inputs'!T55</f>
        <v>190732.5</v>
      </c>
      <c r="U29" s="8">
        <f>'Model inputs'!U54-'Model inputs'!U55</f>
        <v>190732.5</v>
      </c>
      <c r="V29" s="8">
        <f>'Model inputs'!V54-'Model inputs'!V55</f>
        <v>190732.5</v>
      </c>
      <c r="W29" s="8">
        <f>'Model inputs'!W54-'Model inputs'!W55</f>
        <v>190732.5</v>
      </c>
      <c r="X29" s="8">
        <f>'Model inputs'!X54-'Model inputs'!X55</f>
        <v>190732.5</v>
      </c>
      <c r="Y29" s="8">
        <f>'Model inputs'!Y54-'Model inputs'!Y55</f>
        <v>190732.5</v>
      </c>
      <c r="Z29" s="8">
        <f>'Model inputs'!Z68-'Model inputs'!Z71</f>
        <v>190732.5</v>
      </c>
      <c r="AA29" s="8">
        <f>'Model inputs'!AA68-'Model inputs'!AA71</f>
        <v>190732.5</v>
      </c>
    </row>
    <row r="30">
      <c r="A30" t="inlineStr" s="17">
        <is>
          <t xml:space="preserve">NS operating profit · NaukriShield — Upside</t>
        </is>
      </c>
      <c r="D30" s="8">
        <v>0</v>
      </c>
      <c r="E30" s="8">
        <v>0</v>
      </c>
      <c r="F30" s="8">
        <v>0</v>
      </c>
      <c r="G30" s="8">
        <v>0</v>
      </c>
      <c r="H30" s="8">
        <v>0</v>
      </c>
      <c r="I30" s="8">
        <v>0</v>
      </c>
      <c r="J30" s="8">
        <v>0</v>
      </c>
      <c r="K30" s="8">
        <v>0</v>
      </c>
      <c r="L30" s="8">
        <v>0</v>
      </c>
      <c r="M30" s="8">
        <f>'Model inputs'!M69-'Model inputs'!M72</f>
        <v>341757.5</v>
      </c>
      <c r="N30" s="8">
        <f>'Model inputs'!N69-'Model inputs'!N72</f>
        <v>341757.5</v>
      </c>
      <c r="O30" s="8">
        <f>'Model inputs'!O69-'Model inputs'!O72</f>
        <v>341757.5</v>
      </c>
      <c r="P30" s="8">
        <f>'Model inputs'!P69-'Model inputs'!P72</f>
        <v>341757.5</v>
      </c>
      <c r="Q30" s="8">
        <f>'Model inputs'!Q69-'Model inputs'!Q72</f>
        <v>341757.5</v>
      </c>
      <c r="R30" s="8">
        <f>'Model inputs'!R69-'Model inputs'!R72</f>
        <v>341757.5</v>
      </c>
      <c r="S30" s="8">
        <f>'Model inputs'!S69-'Model inputs'!S72</f>
        <v>341757.5</v>
      </c>
      <c r="T30" s="8">
        <f>'Model inputs'!T69-'Model inputs'!T72</f>
        <v>341757.5</v>
      </c>
      <c r="U30" s="8">
        <f>'Model inputs'!U69-'Model inputs'!U72</f>
        <v>341757.5</v>
      </c>
      <c r="V30" s="8">
        <f>'Model inputs'!V69-'Model inputs'!V72</f>
        <v>341757.5</v>
      </c>
      <c r="W30" s="8">
        <f>'Model inputs'!W69-'Model inputs'!W72</f>
        <v>341757.5</v>
      </c>
      <c r="X30" s="8">
        <f>'Model inputs'!X69-'Model inputs'!X72</f>
        <v>341757.5</v>
      </c>
      <c r="Y30" s="8">
        <f>'Model inputs'!Y69-'Model inputs'!Y72</f>
        <v>341757.5</v>
      </c>
      <c r="Z30" s="8">
        <f>'Model inputs'!Z69-'Model inputs'!Z72</f>
        <v>341757.5</v>
      </c>
      <c r="AA30" s="8">
        <f>'Model inputs'!AA69-'Model inputs'!AA72</f>
        <v>341757.5</v>
      </c>
    </row>
    <row r="31">
      <c r="A31" t="inlineStr" s="17">
        <is>
          <t xml:space="preserve">NS operating profit · NaukriShield — Downside</t>
        </is>
      </c>
      <c r="D31" s="8">
        <v>0</v>
      </c>
      <c r="E31" s="8">
        <v>0</v>
      </c>
      <c r="F31" s="8">
        <v>0</v>
      </c>
      <c r="G31" s="8">
        <v>0</v>
      </c>
      <c r="H31" s="8">
        <v>0</v>
      </c>
      <c r="I31" s="8">
        <v>0</v>
      </c>
      <c r="J31" s="8">
        <v>0</v>
      </c>
      <c r="K31" s="8">
        <v>0</v>
      </c>
      <c r="L31" s="8">
        <v>0</v>
      </c>
      <c r="M31" s="8">
        <f>'Model inputs'!M70-'Model inputs'!M73</f>
        <v>-11912.5</v>
      </c>
      <c r="N31" s="8">
        <f>'Model inputs'!N70-'Model inputs'!N73</f>
        <v>-11912.5</v>
      </c>
      <c r="O31" s="8">
        <f>'Model inputs'!O70-'Model inputs'!O73</f>
        <v>-11912.5</v>
      </c>
      <c r="P31" s="8">
        <f>'Model inputs'!P70-'Model inputs'!P73</f>
        <v>-11912.5</v>
      </c>
      <c r="Q31" s="8">
        <f>'Model inputs'!Q70-'Model inputs'!Q73</f>
        <v>-11912.5</v>
      </c>
      <c r="R31" s="8">
        <f>'Model inputs'!R70-'Model inputs'!R73</f>
        <v>-11912.5</v>
      </c>
      <c r="S31" s="8">
        <f>'Model inputs'!S70-'Model inputs'!S73</f>
        <v>-11912.5</v>
      </c>
      <c r="T31" s="8">
        <f>'Model inputs'!T70-'Model inputs'!T73</f>
        <v>-11912.5</v>
      </c>
      <c r="U31" s="8">
        <f>'Model inputs'!U70-'Model inputs'!U73</f>
        <v>-11912.5</v>
      </c>
      <c r="V31" s="8">
        <f>'Model inputs'!V70-'Model inputs'!V73</f>
        <v>-11912.5</v>
      </c>
      <c r="W31" s="8">
        <f>'Model inputs'!W70-'Model inputs'!W73</f>
        <v>-11912.5</v>
      </c>
      <c r="X31" s="8">
        <f>'Model inputs'!X70-'Model inputs'!X73</f>
        <v>-11912.5</v>
      </c>
      <c r="Y31" s="8">
        <f>'Model inputs'!Y70-'Model inputs'!Y73</f>
        <v>-11912.5</v>
      </c>
      <c r="Z31" s="8">
        <f>'Model inputs'!Z70-'Model inputs'!Z73</f>
        <v>-11912.5</v>
      </c>
      <c r="AA31" s="8">
        <f>'Model inputs'!AA70-'Model inputs'!AA73</f>
        <v>-11912.5</v>
      </c>
    </row>
    <row r="32">
      <c r="A32" t="inlineStr" s="17">
        <is>
          <t xml:space="preserve">NS revenue · by  · Year 1 totals and 45-cafe break-even · Main Scenario</t>
        </is>
      </c>
      <c r="D32" s="8">
        <f>SUM('Model inputs'!D34,'Model inputs'!D35,'Model inputs'!D36)</f>
        <v>0</v>
      </c>
      <c r="E32" s="8">
        <f>SUM('Model inputs'!E34,'Model inputs'!E35,'Model inputs'!E36)</f>
        <v>0</v>
      </c>
      <c r="F32" s="8">
        <f>SUM('Model inputs'!F34,'Model inputs'!F35,'Model inputs'!F36)</f>
        <v>0</v>
      </c>
      <c r="G32" s="8">
        <f>SUM('Model inputs'!G34,'Model inputs'!G35,'Model inputs'!G36)</f>
        <v>0</v>
      </c>
      <c r="H32" s="8">
        <f>SUM('Model inputs'!H34,'Model inputs'!H35,'Model inputs'!H36)</f>
        <v>0</v>
      </c>
      <c r="I32" s="8">
        <f>SUM('Model inputs'!I34,'Model inputs'!I35,'Model inputs'!I36)</f>
        <v>0</v>
      </c>
      <c r="J32" s="8">
        <f>SUM('Model inputs'!J34,'Model inputs'!J35,'Model inputs'!J36)</f>
        <v>0</v>
      </c>
      <c r="K32" s="8">
        <f>SUM('Model inputs'!K34,'Model inputs'!K35,'Model inputs'!K36)</f>
        <v>0</v>
      </c>
      <c r="L32" s="8">
        <f>SUM('Model inputs'!L34,'Model inputs'!L35,'Model inputs'!L36)</f>
        <v>0</v>
      </c>
      <c r="M32" s="8">
        <f>SUM('Model inputs'!M34,'Model inputs'!M35,'Model inputs'!M36)</f>
        <v>222300</v>
      </c>
      <c r="N32" s="8">
        <f>SUM('Model inputs'!N34,'Model inputs'!N35,'Model inputs'!N36)</f>
        <v>222300</v>
      </c>
      <c r="O32" s="8">
        <f>SUM('Model inputs'!O34,'Model inputs'!O35,'Model inputs'!O36)</f>
        <v>222300</v>
      </c>
      <c r="P32" s="8">
        <f>SUM('Model inputs'!P34,'Model inputs'!P35,'Model inputs'!P36)</f>
        <v>222300</v>
      </c>
      <c r="Q32" s="8">
        <f>SUM('Model inputs'!Q34,'Model inputs'!Q35,'Model inputs'!Q36)</f>
        <v>222300</v>
      </c>
      <c r="R32" s="8">
        <f>SUM('Model inputs'!R34,'Model inputs'!R35,'Model inputs'!R36)</f>
        <v>222300</v>
      </c>
      <c r="S32" s="8">
        <f>SUM('Model inputs'!S34,'Model inputs'!S35,'Model inputs'!S36)</f>
        <v>222300</v>
      </c>
      <c r="T32" s="8">
        <f>SUM('Model inputs'!T34,'Model inputs'!T35,'Model inputs'!T36)</f>
        <v>222300</v>
      </c>
      <c r="U32" s="8">
        <f>SUM('Model inputs'!U34,'Model inputs'!U35,'Model inputs'!U36)</f>
        <v>222300</v>
      </c>
      <c r="V32" s="8">
        <f>SUM('Model inputs'!V34,'Model inputs'!V35,'Model inputs'!V36)</f>
        <v>222300</v>
      </c>
      <c r="W32" s="8">
        <f>SUM('Model inputs'!W34,'Model inputs'!W35,'Model inputs'!W36)</f>
        <v>222300</v>
      </c>
      <c r="X32" s="8">
        <f>SUM('Model inputs'!X34,'Model inputs'!X35,'Model inputs'!X36)</f>
        <v>222300</v>
      </c>
      <c r="Y32" s="8">
        <f>SUM('Model inputs'!Y34,'Model inputs'!Y35,'Model inputs'!Y36)</f>
        <v>222300</v>
      </c>
      <c r="Z32" s="8">
        <f>SUM('Model inputs'!Z34,'Model inputs'!Z35,'Model inputs'!Z36)</f>
        <v>222300</v>
      </c>
      <c r="AA32" s="8">
        <f>SUM('Model inputs'!AA34,'Model inputs'!AA35,'Model inputs'!AA36)</f>
        <v>222300</v>
      </c>
    </row>
    <row r="33">
      <c r="A33" t="inlineStr" s="17">
        <is>
          <t xml:space="preserve">NS revenue</t>
        </is>
      </c>
      <c r="D33" s="11">
        <f>IF('Model inputs'!D32="","",'Model inputs'!D32)</f>
        <v>0</v>
      </c>
      <c r="E33" s="11">
        <f>IF('Model inputs'!E32="","",'Model inputs'!E32)</f>
        <v>0</v>
      </c>
      <c r="F33" s="11">
        <f>IF('Model inputs'!F32="","",'Model inputs'!F32)</f>
        <v>0</v>
      </c>
      <c r="G33" s="11">
        <f>IF('Model inputs'!G32="","",'Model inputs'!G32)</f>
        <v>0</v>
      </c>
      <c r="H33" s="11">
        <f>IF('Model inputs'!H32="","",'Model inputs'!H32)</f>
        <v>0</v>
      </c>
      <c r="I33" s="11">
        <f>IF('Model inputs'!I32="","",'Model inputs'!I32)</f>
        <v>0</v>
      </c>
      <c r="J33" s="11">
        <f>IF('Model inputs'!J32="","",'Model inputs'!J32)</f>
        <v>0</v>
      </c>
      <c r="K33" s="11">
        <f>IF('Model inputs'!K32="","",'Model inputs'!K32)</f>
        <v>0</v>
      </c>
      <c r="L33" s="11">
        <f>IF('Model inputs'!L32="","",'Model inputs'!L32)</f>
        <v>0</v>
      </c>
      <c r="M33" s="11">
        <f>IF('Model inputs'!M32="","",'Model inputs'!M32)</f>
        <v>222300</v>
      </c>
      <c r="N33" s="11">
        <f>IF('Model inputs'!N32="","",'Model inputs'!N32)</f>
        <v>222300</v>
      </c>
      <c r="O33" s="11">
        <f>IF('Model inputs'!O32="","",'Model inputs'!O32)</f>
        <v>222300</v>
      </c>
      <c r="P33" s="11">
        <f>IF('Model inputs'!P32="","",'Model inputs'!P32)</f>
        <v>222300</v>
      </c>
      <c r="Q33" s="11">
        <f>IF('Model inputs'!Q32="","",'Model inputs'!Q32)</f>
        <v>222300</v>
      </c>
      <c r="R33" s="11">
        <f>IF('Model inputs'!R32="","",'Model inputs'!R32)</f>
        <v>222300</v>
      </c>
      <c r="S33" s="11">
        <f>IF('Model inputs'!S32="","",'Model inputs'!S32)</f>
        <v>222300</v>
      </c>
      <c r="T33" s="11">
        <f>IF('Model inputs'!T32="","",'Model inputs'!T32)</f>
        <v>222300</v>
      </c>
      <c r="U33" s="11">
        <f>IF('Model inputs'!U32="","",'Model inputs'!U32)</f>
        <v>222300</v>
      </c>
      <c r="V33" s="11">
        <f>IF('Model inputs'!V32="","",'Model inputs'!V32)</f>
        <v>222300</v>
      </c>
      <c r="W33" s="11">
        <f>IF('Model inputs'!W32="","",'Model inputs'!W32)</f>
        <v>222300</v>
      </c>
      <c r="X33" s="11">
        <f>IF('Model inputs'!X32="","",'Model inputs'!X32)</f>
        <v>222300</v>
      </c>
      <c r="Y33" s="11">
        <f>IF('Model inputs'!Y32="","",'Model inputs'!Y32)</f>
        <v>222300</v>
      </c>
      <c r="Z33" s="11">
        <f>IF('Model inputs'!Z32="","",'Model inputs'!Z32)</f>
        <v>222300</v>
      </c>
      <c r="AA33" s="11">
        <f>IF('Model inputs'!AA32="","",'Model inputs'!AA32)</f>
        <v>222300</v>
      </c>
    </row>
    <row r="34" outlineLevel="1">
      <c r="A34" t="inlineStr" s="18">
        <is>
          <t xml:space="preserve">NS revenue &gt; API</t>
        </is>
      </c>
      <c r="D34" s="8">
        <f>0</f>
        <v>0</v>
      </c>
      <c r="E34" s="8">
        <f>0</f>
        <v>0</v>
      </c>
      <c r="F34" s="8">
        <f>0</f>
        <v>0</v>
      </c>
      <c r="G34" s="8">
        <f>0</f>
        <v>0</v>
      </c>
      <c r="H34" s="8">
        <f>0</f>
        <v>0</v>
      </c>
      <c r="I34" s="8">
        <f>0</f>
        <v>0</v>
      </c>
      <c r="J34" s="8">
        <f>0</f>
        <v>0</v>
      </c>
      <c r="K34" s="8">
        <f>0</f>
        <v>0</v>
      </c>
      <c r="L34" s="8">
        <f>0</f>
        <v>0</v>
      </c>
      <c r="M34" s="8">
        <f>IF(EXACT("API","Cyber-cafes"),'Model inputs'!C43*'Model inputs'!B10,IF(EXACT("API","API"),'Model inputs'!B46/12*'Model inputs'!B8,0))</f>
        <v>122500</v>
      </c>
      <c r="N34" s="8">
        <f>IF(EXACT("API","Cyber-cafes"),'Model inputs'!C43*'Model inputs'!B10,IF(EXACT("API","API"),'Model inputs'!B46/12*'Model inputs'!B8,0))</f>
        <v>122500</v>
      </c>
      <c r="O34" s="8">
        <f>IF(EXACT("API","Cyber-cafes"),'Model inputs'!C43*'Model inputs'!B10,IF(EXACT("API","API"),'Model inputs'!B46/12*'Model inputs'!B8,0))</f>
        <v>122500</v>
      </c>
      <c r="P34" s="8">
        <f>IF(EXACT("API","Cyber-cafes"),'Model inputs'!C43*'Model inputs'!B10,IF(EXACT("API","API"),'Model inputs'!B46/12*'Model inputs'!B8,0))</f>
        <v>122500</v>
      </c>
      <c r="Q34" s="8">
        <f>IF(EXACT("API","Cyber-cafes"),'Model inputs'!C43*'Model inputs'!B10,IF(EXACT("API","API"),'Model inputs'!B46/12*'Model inputs'!B8,0))</f>
        <v>122500</v>
      </c>
      <c r="R34" s="8">
        <f>IF(EXACT("API","Cyber-cafes"),'Model inputs'!C43*'Model inputs'!B10,IF(EXACT("API","API"),'Model inputs'!B46/12*'Model inputs'!B8,0))</f>
        <v>122500</v>
      </c>
      <c r="S34" s="8">
        <f>IF(EXACT("API","Cyber-cafes"),'Model inputs'!C43*'Model inputs'!B10,IF(EXACT("API","API"),'Model inputs'!B46/12*'Model inputs'!B8,0))</f>
        <v>122500</v>
      </c>
      <c r="T34" s="8">
        <f>IF(EXACT("API","Cyber-cafes"),'Model inputs'!C43*'Model inputs'!B10,IF(EXACT("API","API"),'Model inputs'!B46/12*'Model inputs'!B8,0))</f>
        <v>122500</v>
      </c>
      <c r="U34" s="8">
        <f>IF(EXACT("API","Cyber-cafes"),'Model inputs'!C43*'Model inputs'!B10,IF(EXACT("API","API"),'Model inputs'!B46/12*'Model inputs'!B8,0))</f>
        <v>122500</v>
      </c>
      <c r="V34" s="8">
        <f>IF(EXACT("API","Cyber-cafes"),'Model inputs'!C43*'Model inputs'!B10,IF(EXACT("API","API"),'Model inputs'!B46/12*'Model inputs'!B8,0))</f>
        <v>122500</v>
      </c>
      <c r="W34" s="8">
        <f>IF(EXACT("API","Cyber-cafes"),'Model inputs'!C43*'Model inputs'!B10,IF(EXACT("API","API"),'Model inputs'!B46/12*'Model inputs'!B8,0))</f>
        <v>122500</v>
      </c>
      <c r="X34" s="8">
        <f>IF(EXACT("API","Cyber-cafes"),'Model inputs'!C43*'Model inputs'!B10,IF(EXACT("API","API"),'Model inputs'!B46/12*'Model inputs'!B8,0))</f>
        <v>122500</v>
      </c>
      <c r="Y34" s="8">
        <f>IF(EXACT("API","Cyber-cafes"),'Model inputs'!C43*'Model inputs'!B10,IF(EXACT("API","API"),'Model inputs'!B46/12*'Model inputs'!B8,0))</f>
        <v>122500</v>
      </c>
      <c r="Z34" s="8">
        <f>IF(EXACT("API","Cyber-cafes"),'Model inputs'!C43*'Model inputs'!B10,IF(EXACT("API","API"),'Model inputs'!B46/12*'Model inputs'!B8,0))</f>
        <v>122500</v>
      </c>
      <c r="AA34" s="8">
        <f>IF(EXACT("API","Cyber-cafes"),'Model inputs'!C43*'Model inputs'!B10,IF(EXACT("API","API"),'Model inputs'!B46/12*'Model inputs'!B8,0))</f>
        <v>122500</v>
      </c>
    </row>
    <row r="35" outlineLevel="1">
      <c r="A35" t="inlineStr" s="18">
        <is>
          <t xml:space="preserve">NS revenue &gt; Cyber-cafes</t>
        </is>
      </c>
      <c r="D35" s="8">
        <f>0</f>
        <v>0</v>
      </c>
      <c r="E35" s="8">
        <f>0</f>
        <v>0</v>
      </c>
      <c r="F35" s="8">
        <f>0</f>
        <v>0</v>
      </c>
      <c r="G35" s="8">
        <f>0</f>
        <v>0</v>
      </c>
      <c r="H35" s="8">
        <f>0</f>
        <v>0</v>
      </c>
      <c r="I35" s="8">
        <f>0</f>
        <v>0</v>
      </c>
      <c r="J35" s="8">
        <f>0</f>
        <v>0</v>
      </c>
      <c r="K35" s="8">
        <f>0</f>
        <v>0</v>
      </c>
      <c r="L35" s="8">
        <f>0</f>
        <v>0</v>
      </c>
      <c r="M35" s="8">
        <f>IF(EXACT("Cyber-cafes","Cyber-cafes"),'Model inputs'!C43*'Model inputs'!B10,IF(EXACT("Cyber-cafes","API"),'Model inputs'!B46/12*'Model inputs'!B8,0))</f>
        <v>99800</v>
      </c>
      <c r="N35" s="8">
        <f>IF(EXACT("Cyber-cafes","Cyber-cafes"),'Model inputs'!C43*'Model inputs'!B10,IF(EXACT("Cyber-cafes","API"),'Model inputs'!B46/12*'Model inputs'!B8,0))</f>
        <v>99800</v>
      </c>
      <c r="O35" s="8">
        <f>IF(EXACT("Cyber-cafes","Cyber-cafes"),'Model inputs'!C43*'Model inputs'!B10,IF(EXACT("Cyber-cafes","API"),'Model inputs'!B46/12*'Model inputs'!B8,0))</f>
        <v>99800</v>
      </c>
      <c r="P35" s="8">
        <f>IF(EXACT("Cyber-cafes","Cyber-cafes"),'Model inputs'!C43*'Model inputs'!B10,IF(EXACT("Cyber-cafes","API"),'Model inputs'!B46/12*'Model inputs'!B8,0))</f>
        <v>99800</v>
      </c>
      <c r="Q35" s="8">
        <f>IF(EXACT("Cyber-cafes","Cyber-cafes"),'Model inputs'!C43*'Model inputs'!B10,IF(EXACT("Cyber-cafes","API"),'Model inputs'!B46/12*'Model inputs'!B8,0))</f>
        <v>99800</v>
      </c>
      <c r="R35" s="8">
        <f>IF(EXACT("Cyber-cafes","Cyber-cafes"),'Model inputs'!C43*'Model inputs'!B10,IF(EXACT("Cyber-cafes","API"),'Model inputs'!B46/12*'Model inputs'!B8,0))</f>
        <v>99800</v>
      </c>
      <c r="S35" s="8">
        <f>IF(EXACT("Cyber-cafes","Cyber-cafes"),'Model inputs'!C43*'Model inputs'!B10,IF(EXACT("Cyber-cafes","API"),'Model inputs'!B46/12*'Model inputs'!B8,0))</f>
        <v>99800</v>
      </c>
      <c r="T35" s="8">
        <f>IF(EXACT("Cyber-cafes","Cyber-cafes"),'Model inputs'!C43*'Model inputs'!B10,IF(EXACT("Cyber-cafes","API"),'Model inputs'!B46/12*'Model inputs'!B8,0))</f>
        <v>99800</v>
      </c>
      <c r="U35" s="8">
        <f>IF(EXACT("Cyber-cafes","Cyber-cafes"),'Model inputs'!C43*'Model inputs'!B10,IF(EXACT("Cyber-cafes","API"),'Model inputs'!B46/12*'Model inputs'!B8,0))</f>
        <v>99800</v>
      </c>
      <c r="V35" s="8">
        <f>IF(EXACT("Cyber-cafes","Cyber-cafes"),'Model inputs'!C43*'Model inputs'!B10,IF(EXACT("Cyber-cafes","API"),'Model inputs'!B46/12*'Model inputs'!B8,0))</f>
        <v>99800</v>
      </c>
      <c r="W35" s="8">
        <f>IF(EXACT("Cyber-cafes","Cyber-cafes"),'Model inputs'!C43*'Model inputs'!B10,IF(EXACT("Cyber-cafes","API"),'Model inputs'!B46/12*'Model inputs'!B8,0))</f>
        <v>99800</v>
      </c>
      <c r="X35" s="8">
        <f>IF(EXACT("Cyber-cafes","Cyber-cafes"),'Model inputs'!C43*'Model inputs'!B10,IF(EXACT("Cyber-cafes","API"),'Model inputs'!B46/12*'Model inputs'!B8,0))</f>
        <v>99800</v>
      </c>
      <c r="Y35" s="8">
        <f>IF(EXACT("Cyber-cafes","Cyber-cafes"),'Model inputs'!C43*'Model inputs'!B10,IF(EXACT("Cyber-cafes","API"),'Model inputs'!B46/12*'Model inputs'!B8,0))</f>
        <v>99800</v>
      </c>
      <c r="Z35" s="8">
        <f>IF(EXACT("Cyber-cafes","Cyber-cafes"),'Model inputs'!C43*'Model inputs'!B10,IF(EXACT("Cyber-cafes","API"),'Model inputs'!B46/12*'Model inputs'!B8,0))</f>
        <v>99800</v>
      </c>
      <c r="AA35" s="8">
        <f>IF(EXACT("Cyber-cafes","Cyber-cafes"),'Model inputs'!C43*'Model inputs'!B10,IF(EXACT("Cyber-cafes","API"),'Model inputs'!B46/12*'Model inputs'!B8,0))</f>
        <v>99800</v>
      </c>
    </row>
    <row r="36" outlineLevel="1">
      <c r="A36" t="inlineStr" s="18">
        <is>
          <t xml:space="preserve">NS revenue &gt; Students</t>
        </is>
      </c>
      <c r="D36" s="8">
        <f>0</f>
        <v>0</v>
      </c>
      <c r="E36" s="8">
        <f>0</f>
        <v>0</v>
      </c>
      <c r="F36" s="8">
        <f>0</f>
        <v>0</v>
      </c>
      <c r="G36" s="8">
        <f>0</f>
        <v>0</v>
      </c>
      <c r="H36" s="8">
        <f>0</f>
        <v>0</v>
      </c>
      <c r="I36" s="8">
        <f>0</f>
        <v>0</v>
      </c>
      <c r="J36" s="8">
        <f>0</f>
        <v>0</v>
      </c>
      <c r="K36" s="8">
        <f>0</f>
        <v>0</v>
      </c>
      <c r="L36" s="8">
        <f>0</f>
        <v>0</v>
      </c>
      <c r="M36" s="8">
        <f>IF(EXACT("Students","Cyber-cafes"),'Model inputs'!C43*'Model inputs'!B10,IF(EXACT("Students","API"),'Model inputs'!B46/12*'Model inputs'!B8,0))</f>
        <v>0</v>
      </c>
      <c r="N36" s="8">
        <f>IF(EXACT("Students","Cyber-cafes"),'Model inputs'!C43*'Model inputs'!B10,IF(EXACT("Students","API"),'Model inputs'!B46/12*'Model inputs'!B8,0))</f>
        <v>0</v>
      </c>
      <c r="O36" s="8">
        <f>IF(EXACT("Students","Cyber-cafes"),'Model inputs'!C43*'Model inputs'!B10,IF(EXACT("Students","API"),'Model inputs'!B46/12*'Model inputs'!B8,0))</f>
        <v>0</v>
      </c>
      <c r="P36" s="8">
        <f>IF(EXACT("Students","Cyber-cafes"),'Model inputs'!C43*'Model inputs'!B10,IF(EXACT("Students","API"),'Model inputs'!B46/12*'Model inputs'!B8,0))</f>
        <v>0</v>
      </c>
      <c r="Q36" s="8">
        <f>IF(EXACT("Students","Cyber-cafes"),'Model inputs'!C43*'Model inputs'!B10,IF(EXACT("Students","API"),'Model inputs'!B46/12*'Model inputs'!B8,0))</f>
        <v>0</v>
      </c>
      <c r="R36" s="8">
        <f>IF(EXACT("Students","Cyber-cafes"),'Model inputs'!C43*'Model inputs'!B10,IF(EXACT("Students","API"),'Model inputs'!B46/12*'Model inputs'!B8,0))</f>
        <v>0</v>
      </c>
      <c r="S36" s="8">
        <f>IF(EXACT("Students","Cyber-cafes"),'Model inputs'!C43*'Model inputs'!B10,IF(EXACT("Students","API"),'Model inputs'!B46/12*'Model inputs'!B8,0))</f>
        <v>0</v>
      </c>
      <c r="T36" s="8">
        <f>IF(EXACT("Students","Cyber-cafes"),'Model inputs'!C43*'Model inputs'!B10,IF(EXACT("Students","API"),'Model inputs'!B46/12*'Model inputs'!B8,0))</f>
        <v>0</v>
      </c>
      <c r="U36" s="8">
        <f>IF(EXACT("Students","Cyber-cafes"),'Model inputs'!C43*'Model inputs'!B10,IF(EXACT("Students","API"),'Model inputs'!B46/12*'Model inputs'!B8,0))</f>
        <v>0</v>
      </c>
      <c r="V36" s="8">
        <f>IF(EXACT("Students","Cyber-cafes"),'Model inputs'!C43*'Model inputs'!B10,IF(EXACT("Students","API"),'Model inputs'!B46/12*'Model inputs'!B8,0))</f>
        <v>0</v>
      </c>
      <c r="W36" s="8">
        <f>IF(EXACT("Students","Cyber-cafes"),'Model inputs'!C43*'Model inputs'!B10,IF(EXACT("Students","API"),'Model inputs'!B46/12*'Model inputs'!B8,0))</f>
        <v>0</v>
      </c>
      <c r="X36" s="8">
        <f>IF(EXACT("Students","Cyber-cafes"),'Model inputs'!C43*'Model inputs'!B10,IF(EXACT("Students","API"),'Model inputs'!B46/12*'Model inputs'!B8,0))</f>
        <v>0</v>
      </c>
      <c r="Y36" s="8">
        <f>IF(EXACT("Students","Cyber-cafes"),'Model inputs'!C43*'Model inputs'!B10,IF(EXACT("Students","API"),'Model inputs'!B46/12*'Model inputs'!B8,0))</f>
        <v>0</v>
      </c>
      <c r="Z36" s="8">
        <f>IF(EXACT("Students","Cyber-cafes"),'Model inputs'!C43*'Model inputs'!B10,IF(EXACT("Students","API"),'Model inputs'!B46/12*'Model inputs'!B8,0))</f>
        <v>0</v>
      </c>
      <c r="AA36" s="8">
        <f>IF(EXACT("Students","Cyber-cafes"),'Model inputs'!C43*'Model inputs'!B10,IF(EXACT("Students","API"),'Model inputs'!B46/12*'Model inputs'!B8,0))</f>
        <v>0</v>
      </c>
    </row>
    <row r="37">
      <c r="A37" t="inlineStr" s="17">
        <is>
          <t xml:space="preserve">NS revenue · NaukriShield — Upside</t>
        </is>
      </c>
      <c r="D37" s="8">
        <f>SUM('Model inputs'!D75,'Model inputs'!D76,'Model inputs'!D77)</f>
        <v>0</v>
      </c>
      <c r="E37" s="8">
        <f>SUM('Model inputs'!E75,'Model inputs'!E76,'Model inputs'!E77)</f>
        <v>0</v>
      </c>
      <c r="F37" s="8">
        <f>SUM('Model inputs'!F75,'Model inputs'!F76,'Model inputs'!F77)</f>
        <v>0</v>
      </c>
      <c r="G37" s="8">
        <f>SUM('Model inputs'!G75,'Model inputs'!G76,'Model inputs'!G77)</f>
        <v>0</v>
      </c>
      <c r="H37" s="8">
        <f>SUM('Model inputs'!H75,'Model inputs'!H76,'Model inputs'!H77)</f>
        <v>0</v>
      </c>
      <c r="I37" s="8">
        <f>SUM('Model inputs'!I75,'Model inputs'!I76,'Model inputs'!I77)</f>
        <v>0</v>
      </c>
      <c r="J37" s="8">
        <f>SUM('Model inputs'!J75,'Model inputs'!J76,'Model inputs'!J77)</f>
        <v>0</v>
      </c>
      <c r="K37" s="8">
        <f>SUM('Model inputs'!K75,'Model inputs'!K76,'Model inputs'!K77)</f>
        <v>0</v>
      </c>
      <c r="L37" s="8">
        <f>SUM('Model inputs'!L75,'Model inputs'!L76,'Model inputs'!L77)</f>
        <v>0</v>
      </c>
      <c r="M37" s="8">
        <f>SUM('Model inputs'!M75,'Model inputs'!M76,'Model inputs'!M77)</f>
        <v>394700</v>
      </c>
      <c r="N37" s="8">
        <f>SUM('Model inputs'!N75,'Model inputs'!N76,'Model inputs'!N77)</f>
        <v>394700</v>
      </c>
      <c r="O37" s="8">
        <f>SUM('Model inputs'!O75,'Model inputs'!O76,'Model inputs'!O77)</f>
        <v>394700</v>
      </c>
      <c r="P37" s="8">
        <f>SUM('Model inputs'!P75,'Model inputs'!P76,'Model inputs'!P77)</f>
        <v>394700</v>
      </c>
      <c r="Q37" s="8">
        <f>SUM('Model inputs'!Q75,'Model inputs'!Q76,'Model inputs'!Q77)</f>
        <v>394700</v>
      </c>
      <c r="R37" s="8">
        <f>SUM('Model inputs'!R75,'Model inputs'!R76,'Model inputs'!R77)</f>
        <v>394700</v>
      </c>
      <c r="S37" s="8">
        <f>SUM('Model inputs'!S75,'Model inputs'!S76,'Model inputs'!S77)</f>
        <v>394700</v>
      </c>
      <c r="T37" s="8">
        <f>SUM('Model inputs'!T75,'Model inputs'!T76,'Model inputs'!T77)</f>
        <v>394700</v>
      </c>
      <c r="U37" s="8">
        <f>SUM('Model inputs'!U75,'Model inputs'!U76,'Model inputs'!U77)</f>
        <v>394700</v>
      </c>
      <c r="V37" s="8">
        <f>SUM('Model inputs'!V75,'Model inputs'!V76,'Model inputs'!V77)</f>
        <v>394700</v>
      </c>
      <c r="W37" s="8">
        <f>SUM('Model inputs'!W75,'Model inputs'!W76,'Model inputs'!W77)</f>
        <v>394700</v>
      </c>
      <c r="X37" s="8">
        <f>SUM('Model inputs'!X75,'Model inputs'!X76,'Model inputs'!X77)</f>
        <v>394700</v>
      </c>
      <c r="Y37" s="8">
        <f>SUM('Model inputs'!Y75,'Model inputs'!Y76,'Model inputs'!Y77)</f>
        <v>394700</v>
      </c>
      <c r="Z37" s="8">
        <f>SUM('Model inputs'!Z75,'Model inputs'!Z76,'Model inputs'!Z77)</f>
        <v>394700</v>
      </c>
      <c r="AA37" s="8">
        <f>SUM('Model inputs'!AA75,'Model inputs'!AA76,'Model inputs'!AA77)</f>
        <v>394700</v>
      </c>
    </row>
    <row r="38">
      <c r="A38" t="inlineStr" s="17">
        <is>
          <t xml:space="preserve">NS revenue · NaukriShield — Downside</t>
        </is>
      </c>
      <c r="D38" s="8">
        <f>SUM('Model inputs'!D79,'Model inputs'!D80,'Model inputs'!D81)</f>
        <v>0</v>
      </c>
      <c r="E38" s="8">
        <f>SUM('Model inputs'!E79,'Model inputs'!E80,'Model inputs'!E81)</f>
        <v>0</v>
      </c>
      <c r="F38" s="8">
        <f>SUM('Model inputs'!F79,'Model inputs'!F80,'Model inputs'!F81)</f>
        <v>0</v>
      </c>
      <c r="G38" s="8">
        <f>SUM('Model inputs'!G79,'Model inputs'!G80,'Model inputs'!G81)</f>
        <v>0</v>
      </c>
      <c r="H38" s="8">
        <f>SUM('Model inputs'!H79,'Model inputs'!H80,'Model inputs'!H81)</f>
        <v>0</v>
      </c>
      <c r="I38" s="8">
        <f>SUM('Model inputs'!I79,'Model inputs'!I80,'Model inputs'!I81)</f>
        <v>0</v>
      </c>
      <c r="J38" s="8">
        <f>SUM('Model inputs'!J79,'Model inputs'!J80,'Model inputs'!J81)</f>
        <v>0</v>
      </c>
      <c r="K38" s="8">
        <f>SUM('Model inputs'!K79,'Model inputs'!K80,'Model inputs'!K81)</f>
        <v>0</v>
      </c>
      <c r="L38" s="8">
        <f>SUM('Model inputs'!L79,'Model inputs'!L80,'Model inputs'!L81)</f>
        <v>0</v>
      </c>
      <c r="M38" s="8">
        <f>SUM('Model inputs'!M79,'Model inputs'!M80,'Model inputs'!M81)</f>
        <v>9980</v>
      </c>
      <c r="N38" s="8">
        <f>SUM('Model inputs'!N79,'Model inputs'!N80,'Model inputs'!N81)</f>
        <v>9980</v>
      </c>
      <c r="O38" s="8">
        <f>SUM('Model inputs'!O79,'Model inputs'!O80,'Model inputs'!O81)</f>
        <v>9980</v>
      </c>
      <c r="P38" s="8">
        <f>SUM('Model inputs'!P79,'Model inputs'!P80,'Model inputs'!P81)</f>
        <v>9980</v>
      </c>
      <c r="Q38" s="8">
        <f>SUM('Model inputs'!Q79,'Model inputs'!Q80,'Model inputs'!Q81)</f>
        <v>9980</v>
      </c>
      <c r="R38" s="8">
        <f>SUM('Model inputs'!R79,'Model inputs'!R80,'Model inputs'!R81)</f>
        <v>9980</v>
      </c>
      <c r="S38" s="8">
        <f>SUM('Model inputs'!S79,'Model inputs'!S80,'Model inputs'!S81)</f>
        <v>9980</v>
      </c>
      <c r="T38" s="8">
        <f>SUM('Model inputs'!T79,'Model inputs'!T80,'Model inputs'!T81)</f>
        <v>9980</v>
      </c>
      <c r="U38" s="8">
        <f>SUM('Model inputs'!U79,'Model inputs'!U80,'Model inputs'!U81)</f>
        <v>9980</v>
      </c>
      <c r="V38" s="8">
        <f>SUM('Model inputs'!V79,'Model inputs'!V80,'Model inputs'!V81)</f>
        <v>9980</v>
      </c>
      <c r="W38" s="8">
        <f>SUM('Model inputs'!W79,'Model inputs'!W80,'Model inputs'!W81)</f>
        <v>9980</v>
      </c>
      <c r="X38" s="8">
        <f>SUM('Model inputs'!X79,'Model inputs'!X80,'Model inputs'!X81)</f>
        <v>9980</v>
      </c>
      <c r="Y38" s="8">
        <f>SUM('Model inputs'!Y79,'Model inputs'!Y80,'Model inputs'!Y81)</f>
        <v>9980</v>
      </c>
      <c r="Z38" s="8">
        <f>SUM('Model inputs'!Z79,'Model inputs'!Z80,'Model inputs'!Z81)</f>
        <v>9980</v>
      </c>
      <c r="AA38" s="8">
        <f>SUM('Model inputs'!AA79,'Model inputs'!AA80,'Model inputs'!AA81)</f>
        <v>9980</v>
      </c>
    </row>
    <row r="39">
      <c r="A39" t="inlineStr" s="17">
        <is>
          <t xml:space="preserve">Opening cash assumption · Year 1 totals and 45-cafe break-even · Main Scenario</t>
        </is>
      </c>
      <c r="B39" s="8">
        <f>'Pricing and editable planning i'!B17</f>
        <v>300000</v>
      </c>
    </row>
    <row r="40">
      <c r="A40" t="inlineStr" s="17">
        <is>
          <t xml:space="preserve">Opening cash assumption · Runway and operating profit · Main Scenario</t>
        </is>
      </c>
      <c r="C40" s="8">
        <f>'Pricing and editable planning i'!B17</f>
        <v>300000</v>
      </c>
    </row>
    <row r="41">
      <c r="A41" t="inlineStr" s="17">
        <is>
          <t xml:space="preserve">Opening cash assumption · NaukriShield — Upside</t>
        </is>
      </c>
      <c r="B41" s="8">
        <f>'Pricing and editable planning i'!B17</f>
        <v>300000</v>
      </c>
    </row>
    <row r="42">
      <c r="A42" t="inlineStr" s="17">
        <is>
          <t xml:space="preserve">Opening cash assumption · NaukriShield — Downside</t>
        </is>
      </c>
      <c r="B42" s="8">
        <f>'Pricing and editable planning i'!B17</f>
        <v>300000</v>
      </c>
    </row>
    <row r="43">
      <c r="A43" t="inlineStr" s="17">
        <is>
          <t xml:space="preserve">Paying cafes · Monthly revenue and check costs</t>
        </is>
      </c>
      <c r="C43" s="10">
        <f>'Pricing and editable planning i'!B11</f>
        <v>200</v>
      </c>
    </row>
    <row r="44">
      <c r="A44" t="inlineStr" s="17">
        <is>
          <t xml:space="preserve">Student monthly free allowance · Year 1 totals and 45-cafe break-even</t>
        </is>
      </c>
      <c r="B44" s="10">
        <f>'Pricing and editable planning i'!B5</f>
        <v>3</v>
      </c>
    </row>
    <row r="45">
      <c r="A45" t="inlineStr" s="17">
        <is>
          <t xml:space="preserve">Student monthly free allowance · Monthly revenue and check costs</t>
        </is>
      </c>
      <c r="C45" s="10">
        <f>'Pricing and editable planning i'!B5</f>
        <v>3</v>
      </c>
    </row>
    <row r="46">
      <c r="A46" t="inlineStr" s="17">
        <is>
          <t xml:space="preserve">Year 1 API checks · Year 1 totals and 45-cafe break-even</t>
        </is>
      </c>
      <c r="B46" s="10">
        <f>'Pricing and editable planning i'!B12</f>
        <v>30000</v>
      </c>
    </row>
    <row r="47">
      <c r="A47" t="inlineStr" s="17">
        <is>
          <t xml:space="preserve">Year 1 API checks · Monthly revenue and check costs</t>
        </is>
      </c>
      <c r="C47" s="10">
        <f>'Pricing and editable planning i'!B12</f>
        <v>30000</v>
      </c>
    </row>
    <row r="48">
      <c r="A48" t="inlineStr" s="17">
        <is>
          <t xml:space="preserve">Cached data cost per check · Pricing and editable planning inputs</t>
        </is>
      </c>
      <c r="B48" s="9">
        <f>'Pricing and editable planning i'!B9</f>
        <v>1.5</v>
      </c>
    </row>
    <row r="49">
      <c r="A49" t="inlineStr" s="17">
        <is>
          <t xml:space="preserve">Haiku cost per check · Pricing and editable planning inputs</t>
        </is>
      </c>
      <c r="B49" s="9">
        <f>'Pricing and editable planning i'!B8</f>
        <v>0.75</v>
      </c>
    </row>
    <row r="50">
      <c r="A50" t="inlineStr" s="17">
        <is>
          <t xml:space="preserve">NS checks</t>
        </is>
      </c>
      <c r="N50" s="6">
        <f>SUM('Model inputs'!N51,'Model inputs'!N52,'Model inputs'!N53)</f>
        <v>7500</v>
      </c>
      <c r="O50" s="6">
        <f>SUM('Model inputs'!O51,'Model inputs'!O52,'Model inputs'!O53)</f>
        <v>7500</v>
      </c>
      <c r="P50" s="6">
        <f>SUM('Model inputs'!P51,'Model inputs'!P52,'Model inputs'!P53)</f>
        <v>7500</v>
      </c>
      <c r="Q50" s="6">
        <f>SUM('Model inputs'!Q51,'Model inputs'!Q52,'Model inputs'!Q53)</f>
        <v>7500</v>
      </c>
      <c r="R50" s="6">
        <f>SUM('Model inputs'!R51,'Model inputs'!R52,'Model inputs'!R53)</f>
        <v>7500</v>
      </c>
      <c r="S50" s="6">
        <f>SUM('Model inputs'!S51,'Model inputs'!S52,'Model inputs'!S53)</f>
        <v>7500</v>
      </c>
      <c r="T50" s="6">
        <f>SUM('Model inputs'!T51,'Model inputs'!T52,'Model inputs'!T53)</f>
        <v>7500</v>
      </c>
      <c r="U50" s="6">
        <f>SUM('Model inputs'!U51,'Model inputs'!U52,'Model inputs'!U53)</f>
        <v>7500</v>
      </c>
      <c r="V50" s="6">
        <f>SUM('Model inputs'!V51,'Model inputs'!V52,'Model inputs'!V53)</f>
        <v>7500</v>
      </c>
      <c r="W50" s="6">
        <f>SUM('Model inputs'!W51,'Model inputs'!W52,'Model inputs'!W53)</f>
        <v>7500</v>
      </c>
      <c r="X50" s="6">
        <f>SUM('Model inputs'!X51,'Model inputs'!X52,'Model inputs'!X53)</f>
        <v>7500</v>
      </c>
      <c r="Y50" s="6">
        <f>SUM('Model inputs'!Y51,'Model inputs'!Y52,'Model inputs'!Y53)</f>
        <v>7500</v>
      </c>
    </row>
    <row r="51" outlineLevel="1">
      <c r="A51" t="inlineStr" s="18">
        <is>
          <t xml:space="preserve">NS checks &gt; API</t>
        </is>
      </c>
      <c r="N51" s="10">
        <f>IF(EXACT("API","Cyber-cafes"),'Model inputs'!C43*'Model inputs'!B12,IF(EXACT("API","API"),'Model inputs'!B46/12,'Model inputs'!B6*MIN('Model inputs'!B14,'Model inputs'!B44)))</f>
        <v>2500</v>
      </c>
      <c r="O51" s="10">
        <f>IF(EXACT("API","Cyber-cafes"),'Model inputs'!C43*'Model inputs'!B12,IF(EXACT("API","API"),'Model inputs'!B46/12,'Model inputs'!B6*MIN('Model inputs'!B14,'Model inputs'!B44)))</f>
        <v>2500</v>
      </c>
      <c r="P51" s="10">
        <f>IF(EXACT("API","Cyber-cafes"),'Model inputs'!C43*'Model inputs'!B12,IF(EXACT("API","API"),'Model inputs'!B46/12,'Model inputs'!B6*MIN('Model inputs'!B14,'Model inputs'!B44)))</f>
        <v>2500</v>
      </c>
      <c r="Q51" s="10">
        <f>IF(EXACT("API","Cyber-cafes"),'Model inputs'!C43*'Model inputs'!B12,IF(EXACT("API","API"),'Model inputs'!B46/12,'Model inputs'!B6*MIN('Model inputs'!B14,'Model inputs'!B44)))</f>
        <v>2500</v>
      </c>
      <c r="R51" s="10">
        <f>IF(EXACT("API","Cyber-cafes"),'Model inputs'!C43*'Model inputs'!B12,IF(EXACT("API","API"),'Model inputs'!B46/12,'Model inputs'!B6*MIN('Model inputs'!B14,'Model inputs'!B44)))</f>
        <v>2500</v>
      </c>
      <c r="S51" s="10">
        <f>IF(EXACT("API","Cyber-cafes"),'Model inputs'!C43*'Model inputs'!B12,IF(EXACT("API","API"),'Model inputs'!B46/12,'Model inputs'!B6*MIN('Model inputs'!B14,'Model inputs'!B44)))</f>
        <v>2500</v>
      </c>
      <c r="T51" s="10">
        <f>IF(EXACT("API","Cyber-cafes"),'Model inputs'!C43*'Model inputs'!B12,IF(EXACT("API","API"),'Model inputs'!B46/12,'Model inputs'!B6*MIN('Model inputs'!B14,'Model inputs'!B44)))</f>
        <v>2500</v>
      </c>
      <c r="U51" s="10">
        <f>IF(EXACT("API","Cyber-cafes"),'Model inputs'!C43*'Model inputs'!B12,IF(EXACT("API","API"),'Model inputs'!B46/12,'Model inputs'!B6*MIN('Model inputs'!B14,'Model inputs'!B44)))</f>
        <v>2500</v>
      </c>
      <c r="V51" s="10">
        <f>IF(EXACT("API","Cyber-cafes"),'Model inputs'!C43*'Model inputs'!B12,IF(EXACT("API","API"),'Model inputs'!B46/12,'Model inputs'!B6*MIN('Model inputs'!B14,'Model inputs'!B44)))</f>
        <v>2500</v>
      </c>
      <c r="W51" s="10">
        <f>IF(EXACT("API","Cyber-cafes"),'Model inputs'!C43*'Model inputs'!B12,IF(EXACT("API","API"),'Model inputs'!B46/12,'Model inputs'!B6*MIN('Model inputs'!B14,'Model inputs'!B44)))</f>
        <v>2500</v>
      </c>
      <c r="X51" s="10">
        <f>IF(EXACT("API","Cyber-cafes"),'Model inputs'!C43*'Model inputs'!B12,IF(EXACT("API","API"),'Model inputs'!B46/12,'Model inputs'!B6*MIN('Model inputs'!B14,'Model inputs'!B44)))</f>
        <v>2500</v>
      </c>
      <c r="Y51" s="10">
        <f>IF(EXACT("API","Cyber-cafes"),'Model inputs'!C43*'Model inputs'!B12,IF(EXACT("API","API"),'Model inputs'!B46/12,'Model inputs'!B6*MIN('Model inputs'!B14,'Model inputs'!B44)))</f>
        <v>2500</v>
      </c>
    </row>
    <row r="52" outlineLevel="1">
      <c r="A52" t="inlineStr" s="18">
        <is>
          <t xml:space="preserve">NS checks &gt; Cyber-cafes</t>
        </is>
      </c>
      <c r="N52" s="10">
        <f>IF(EXACT("Cyber-cafes","Cyber-cafes"),'Model inputs'!C43*'Model inputs'!B12,IF(EXACT("Cyber-cafes","API"),'Model inputs'!B46/12,'Model inputs'!B6*MIN('Model inputs'!B14,'Model inputs'!B44)))</f>
        <v>2000</v>
      </c>
      <c r="O52" s="10">
        <f>IF(EXACT("Cyber-cafes","Cyber-cafes"),'Model inputs'!C43*'Model inputs'!B12,IF(EXACT("Cyber-cafes","API"),'Model inputs'!B46/12,'Model inputs'!B6*MIN('Model inputs'!B14,'Model inputs'!B44)))</f>
        <v>2000</v>
      </c>
      <c r="P52" s="10">
        <f>IF(EXACT("Cyber-cafes","Cyber-cafes"),'Model inputs'!C43*'Model inputs'!B12,IF(EXACT("Cyber-cafes","API"),'Model inputs'!B46/12,'Model inputs'!B6*MIN('Model inputs'!B14,'Model inputs'!B44)))</f>
        <v>2000</v>
      </c>
      <c r="Q52" s="10">
        <f>IF(EXACT("Cyber-cafes","Cyber-cafes"),'Model inputs'!C43*'Model inputs'!B12,IF(EXACT("Cyber-cafes","API"),'Model inputs'!B46/12,'Model inputs'!B6*MIN('Model inputs'!B14,'Model inputs'!B44)))</f>
        <v>2000</v>
      </c>
      <c r="R52" s="10">
        <f>IF(EXACT("Cyber-cafes","Cyber-cafes"),'Model inputs'!C43*'Model inputs'!B12,IF(EXACT("Cyber-cafes","API"),'Model inputs'!B46/12,'Model inputs'!B6*MIN('Model inputs'!B14,'Model inputs'!B44)))</f>
        <v>2000</v>
      </c>
      <c r="S52" s="10">
        <f>IF(EXACT("Cyber-cafes","Cyber-cafes"),'Model inputs'!C43*'Model inputs'!B12,IF(EXACT("Cyber-cafes","API"),'Model inputs'!B46/12,'Model inputs'!B6*MIN('Model inputs'!B14,'Model inputs'!B44)))</f>
        <v>2000</v>
      </c>
      <c r="T52" s="10">
        <f>IF(EXACT("Cyber-cafes","Cyber-cafes"),'Model inputs'!C43*'Model inputs'!B12,IF(EXACT("Cyber-cafes","API"),'Model inputs'!B46/12,'Model inputs'!B6*MIN('Model inputs'!B14,'Model inputs'!B44)))</f>
        <v>2000</v>
      </c>
      <c r="U52" s="10">
        <f>IF(EXACT("Cyber-cafes","Cyber-cafes"),'Model inputs'!C43*'Model inputs'!B12,IF(EXACT("Cyber-cafes","API"),'Model inputs'!B46/12,'Model inputs'!B6*MIN('Model inputs'!B14,'Model inputs'!B44)))</f>
        <v>2000</v>
      </c>
      <c r="V52" s="10">
        <f>IF(EXACT("Cyber-cafes","Cyber-cafes"),'Model inputs'!C43*'Model inputs'!B12,IF(EXACT("Cyber-cafes","API"),'Model inputs'!B46/12,'Model inputs'!B6*MIN('Model inputs'!B14,'Model inputs'!B44)))</f>
        <v>2000</v>
      </c>
      <c r="W52" s="10">
        <f>IF(EXACT("Cyber-cafes","Cyber-cafes"),'Model inputs'!C43*'Model inputs'!B12,IF(EXACT("Cyber-cafes","API"),'Model inputs'!B46/12,'Model inputs'!B6*MIN('Model inputs'!B14,'Model inputs'!B44)))</f>
        <v>2000</v>
      </c>
      <c r="X52" s="10">
        <f>IF(EXACT("Cyber-cafes","Cyber-cafes"),'Model inputs'!C43*'Model inputs'!B12,IF(EXACT("Cyber-cafes","API"),'Model inputs'!B46/12,'Model inputs'!B6*MIN('Model inputs'!B14,'Model inputs'!B44)))</f>
        <v>2000</v>
      </c>
      <c r="Y52" s="10">
        <f>IF(EXACT("Cyber-cafes","Cyber-cafes"),'Model inputs'!C43*'Model inputs'!B12,IF(EXACT("Cyber-cafes","API"),'Model inputs'!B46/12,'Model inputs'!B6*MIN('Model inputs'!B14,'Model inputs'!B44)))</f>
        <v>2000</v>
      </c>
    </row>
    <row r="53" outlineLevel="1">
      <c r="A53" t="inlineStr" s="18">
        <is>
          <t xml:space="preserve">NS checks &gt; Students</t>
        </is>
      </c>
      <c r="N53" s="10">
        <f>IF(EXACT("Students","Cyber-cafes"),'Model inputs'!C43*'Model inputs'!B12,IF(EXACT("Students","API"),'Model inputs'!B46/12,'Model inputs'!B6*MIN('Model inputs'!B14,'Model inputs'!B44)))</f>
        <v>3000</v>
      </c>
      <c r="O53" s="10">
        <f>IF(EXACT("Students","Cyber-cafes"),'Model inputs'!C43*'Model inputs'!B12,IF(EXACT("Students","API"),'Model inputs'!B46/12,'Model inputs'!B6*MIN('Model inputs'!B14,'Model inputs'!B44)))</f>
        <v>3000</v>
      </c>
      <c r="P53" s="10">
        <f>IF(EXACT("Students","Cyber-cafes"),'Model inputs'!C43*'Model inputs'!B12,IF(EXACT("Students","API"),'Model inputs'!B46/12,'Model inputs'!B6*MIN('Model inputs'!B14,'Model inputs'!B44)))</f>
        <v>3000</v>
      </c>
      <c r="Q53" s="10">
        <f>IF(EXACT("Students","Cyber-cafes"),'Model inputs'!C43*'Model inputs'!B12,IF(EXACT("Students","API"),'Model inputs'!B46/12,'Model inputs'!B6*MIN('Model inputs'!B14,'Model inputs'!B44)))</f>
        <v>3000</v>
      </c>
      <c r="R53" s="10">
        <f>IF(EXACT("Students","Cyber-cafes"),'Model inputs'!C43*'Model inputs'!B12,IF(EXACT("Students","API"),'Model inputs'!B46/12,'Model inputs'!B6*MIN('Model inputs'!B14,'Model inputs'!B44)))</f>
        <v>3000</v>
      </c>
      <c r="S53" s="10">
        <f>IF(EXACT("Students","Cyber-cafes"),'Model inputs'!C43*'Model inputs'!B12,IF(EXACT("Students","API"),'Model inputs'!B46/12,'Model inputs'!B6*MIN('Model inputs'!B14,'Model inputs'!B44)))</f>
        <v>3000</v>
      </c>
      <c r="T53" s="10">
        <f>IF(EXACT("Students","Cyber-cafes"),'Model inputs'!C43*'Model inputs'!B12,IF(EXACT("Students","API"),'Model inputs'!B46/12,'Model inputs'!B6*MIN('Model inputs'!B14,'Model inputs'!B44)))</f>
        <v>3000</v>
      </c>
      <c r="U53" s="10">
        <f>IF(EXACT("Students","Cyber-cafes"),'Model inputs'!C43*'Model inputs'!B12,IF(EXACT("Students","API"),'Model inputs'!B46/12,'Model inputs'!B6*MIN('Model inputs'!B14,'Model inputs'!B44)))</f>
        <v>3000</v>
      </c>
      <c r="V53" s="10">
        <f>IF(EXACT("Students","Cyber-cafes"),'Model inputs'!C43*'Model inputs'!B12,IF(EXACT("Students","API"),'Model inputs'!B46/12,'Model inputs'!B6*MIN('Model inputs'!B14,'Model inputs'!B44)))</f>
        <v>3000</v>
      </c>
      <c r="W53" s="10">
        <f>IF(EXACT("Students","Cyber-cafes"),'Model inputs'!C43*'Model inputs'!B12,IF(EXACT("Students","API"),'Model inputs'!B46/12,'Model inputs'!B6*MIN('Model inputs'!B14,'Model inputs'!B44)))</f>
        <v>3000</v>
      </c>
      <c r="X53" s="10">
        <f>IF(EXACT("Students","Cyber-cafes"),'Model inputs'!C43*'Model inputs'!B12,IF(EXACT("Students","API"),'Model inputs'!B46/12,'Model inputs'!B6*MIN('Model inputs'!B14,'Model inputs'!B44)))</f>
        <v>3000</v>
      </c>
      <c r="Y53" s="10">
        <f>IF(EXACT("Students","Cyber-cafes"),'Model inputs'!C43*'Model inputs'!B12,IF(EXACT("Students","API"),'Model inputs'!B46/12,'Model inputs'!B6*MIN('Model inputs'!B14,'Model inputs'!B44)))</f>
        <v>3000</v>
      </c>
    </row>
    <row r="54">
      <c r="A54" t="inlineStr" s="17">
        <is>
          <t xml:space="preserve">NS gross profit · Runway and operating profit</t>
        </is>
      </c>
      <c r="K54" s="8">
        <v>0</v>
      </c>
      <c r="L54" s="8">
        <v>0</v>
      </c>
      <c r="M54" s="8">
        <f>'Model inputs'!M32-'Model inputs'!M20</f>
        <v>205425</v>
      </c>
      <c r="N54" s="8">
        <f>'Model inputs'!N32-'Model inputs'!N20</f>
        <v>205425</v>
      </c>
      <c r="O54" s="8">
        <f>'Model inputs'!O32-'Model inputs'!O20</f>
        <v>205425</v>
      </c>
      <c r="P54" s="8">
        <f>'Model inputs'!P32-'Model inputs'!P20</f>
        <v>205425</v>
      </c>
      <c r="Q54" s="8">
        <f>'Model inputs'!Q32-'Model inputs'!Q20</f>
        <v>205425</v>
      </c>
      <c r="R54" s="8">
        <f>'Model inputs'!R32-'Model inputs'!R20</f>
        <v>205425</v>
      </c>
      <c r="S54" s="8">
        <f>'Model inputs'!S32-'Model inputs'!S20</f>
        <v>205425</v>
      </c>
      <c r="T54" s="8">
        <f>'Model inputs'!T32-'Model inputs'!T20</f>
        <v>205425</v>
      </c>
      <c r="U54" s="8">
        <f>'Model inputs'!U32-'Model inputs'!U20</f>
        <v>205425</v>
      </c>
      <c r="V54" s="8">
        <f>'Model inputs'!V32-'Model inputs'!V20</f>
        <v>205425</v>
      </c>
      <c r="W54" s="8">
        <f>'Model inputs'!W32-'Model inputs'!W20</f>
        <v>205425</v>
      </c>
      <c r="X54" s="8">
        <f>'Model inputs'!X32-'Model inputs'!X20</f>
        <v>205425</v>
      </c>
      <c r="Y54" s="8">
        <f>'Model inputs'!Y32-'Model inputs'!Y20</f>
        <v>205425</v>
      </c>
    </row>
    <row r="55">
      <c r="A55" t="inlineStr" s="17">
        <is>
          <t xml:space="preserve">NS overhead · Runway and operating profit</t>
        </is>
      </c>
      <c r="K55" s="8">
        <v>0</v>
      </c>
      <c r="L55" s="8">
        <v>0</v>
      </c>
      <c r="M55" s="8">
        <f>IF('Model inputs'!B18="","",'Model inputs'!B18)</f>
        <v>14692.5</v>
      </c>
      <c r="N55" s="8">
        <f>IF('Model inputs'!B18="","",'Model inputs'!B18)</f>
        <v>14692.5</v>
      </c>
      <c r="O55" s="8">
        <f>IF('Model inputs'!B18="","",'Model inputs'!B18)</f>
        <v>14692.5</v>
      </c>
      <c r="P55" s="8">
        <f>IF('Model inputs'!B18="","",'Model inputs'!B18)</f>
        <v>14692.5</v>
      </c>
      <c r="Q55" s="8">
        <f>IF('Model inputs'!B18="","",'Model inputs'!B18)</f>
        <v>14692.5</v>
      </c>
      <c r="R55" s="8">
        <f>IF('Model inputs'!B18="","",'Model inputs'!B18)</f>
        <v>14692.5</v>
      </c>
      <c r="S55" s="8">
        <f>IF('Model inputs'!B18="","",'Model inputs'!B18)</f>
        <v>14692.5</v>
      </c>
      <c r="T55" s="8">
        <f>IF('Model inputs'!B18="","",'Model inputs'!B18)</f>
        <v>14692.5</v>
      </c>
      <c r="U55" s="8">
        <f>IF('Model inputs'!B18="","",'Model inputs'!B18)</f>
        <v>14692.5</v>
      </c>
      <c r="V55" s="8">
        <f>IF('Model inputs'!B18="","",'Model inputs'!B18)</f>
        <v>14692.5</v>
      </c>
      <c r="W55" s="8">
        <f>IF('Model inputs'!B18="","",'Model inputs'!B18)</f>
        <v>14692.5</v>
      </c>
      <c r="X55" s="8">
        <f>IF('Model inputs'!B18="","",'Model inputs'!B18)</f>
        <v>14692.5</v>
      </c>
      <c r="Y55" s="8">
        <f>IF('Model inputs'!B18="","",'Model inputs'!B18)</f>
        <v>14692.5</v>
      </c>
    </row>
    <row r="56">
      <c r="A56" t="inlineStr" s="17">
        <is>
          <t xml:space="preserve">NS check costs</t>
        </is>
      </c>
      <c r="D56" s="11">
        <f>IF('Model inputs'!D25="","",'Model inputs'!D25)</f>
        <v>0</v>
      </c>
      <c r="E56" s="11">
        <f>IF('Model inputs'!E25="","",'Model inputs'!E25)</f>
        <v>0</v>
      </c>
      <c r="F56" s="11">
        <f>IF('Model inputs'!F25="","",'Model inputs'!F25)</f>
        <v>0</v>
      </c>
      <c r="G56" s="11">
        <f>IF('Model inputs'!G25="","",'Model inputs'!G25)</f>
        <v>0</v>
      </c>
      <c r="H56" s="11">
        <f>IF('Model inputs'!H25="","",'Model inputs'!H25)</f>
        <v>0</v>
      </c>
      <c r="I56" s="11">
        <f>IF('Model inputs'!I25="","",'Model inputs'!I25)</f>
        <v>0</v>
      </c>
      <c r="J56" s="11">
        <f>IF('Model inputs'!J25="","",'Model inputs'!J25)</f>
        <v>0</v>
      </c>
      <c r="K56" s="11">
        <f>IF('Model inputs'!K25="","",'Model inputs'!K25)</f>
        <v>0</v>
      </c>
      <c r="L56" s="11">
        <f>IF('Model inputs'!L25="","",'Model inputs'!L25)</f>
        <v>0</v>
      </c>
      <c r="M56" s="11">
        <f>IF('Model inputs'!M25="","",'Model inputs'!M25)</f>
        <v>38250</v>
      </c>
      <c r="N56" s="11">
        <f>IF('Model inputs'!N25="","",'Model inputs'!N25)</f>
        <v>38250</v>
      </c>
      <c r="O56" s="11">
        <f>IF('Model inputs'!O25="","",'Model inputs'!O25)</f>
        <v>38250</v>
      </c>
      <c r="P56" s="11">
        <f>IF('Model inputs'!P25="","",'Model inputs'!P25)</f>
        <v>38250</v>
      </c>
      <c r="Q56" s="11">
        <f>IF('Model inputs'!Q25="","",'Model inputs'!Q25)</f>
        <v>38250</v>
      </c>
      <c r="R56" s="11">
        <f>IF('Model inputs'!R25="","",'Model inputs'!R25)</f>
        <v>38250</v>
      </c>
      <c r="S56" s="11">
        <f>IF('Model inputs'!S25="","",'Model inputs'!S25)</f>
        <v>38250</v>
      </c>
      <c r="T56" s="11">
        <f>IF('Model inputs'!T25="","",'Model inputs'!T25)</f>
        <v>38250</v>
      </c>
      <c r="U56" s="11">
        <f>IF('Model inputs'!U25="","",'Model inputs'!U25)</f>
        <v>38250</v>
      </c>
      <c r="V56" s="11">
        <f>IF('Model inputs'!V25="","",'Model inputs'!V25)</f>
        <v>38250</v>
      </c>
      <c r="W56" s="11">
        <f>IF('Model inputs'!W25="","",'Model inputs'!W25)</f>
        <v>38250</v>
      </c>
      <c r="X56" s="11">
        <f>IF('Model inputs'!X25="","",'Model inputs'!X25)</f>
        <v>38250</v>
      </c>
      <c r="Y56" s="11">
        <f>IF('Model inputs'!Y25="","",'Model inputs'!Y25)</f>
        <v>38250</v>
      </c>
      <c r="Z56" s="11">
        <f>IF('Model inputs'!Z25="","",'Model inputs'!Z25)</f>
        <v>38250</v>
      </c>
      <c r="AA56" s="11">
        <f>IF('Model inputs'!AA25="","",'Model inputs'!AA25)</f>
        <v>38250</v>
      </c>
    </row>
    <row r="57" outlineLevel="1">
      <c r="A57" t="inlineStr" s="18">
        <is>
          <t xml:space="preserve">NS check costs &gt; API</t>
        </is>
      </c>
      <c r="D57" s="8">
        <f>'Model inputs'!D22</f>
        <v>0</v>
      </c>
      <c r="E57" s="8">
        <f>'Model inputs'!E22</f>
        <v>0</v>
      </c>
      <c r="F57" s="8">
        <f>'Model inputs'!F22</f>
        <v>0</v>
      </c>
      <c r="G57" s="8">
        <f>'Model inputs'!G22</f>
        <v>0</v>
      </c>
      <c r="H57" s="8">
        <f>'Model inputs'!H22</f>
        <v>0</v>
      </c>
      <c r="I57" s="8">
        <f>'Model inputs'!I22</f>
        <v>0</v>
      </c>
      <c r="J57" s="8">
        <f>'Model inputs'!J22</f>
        <v>0</v>
      </c>
      <c r="K57" s="8">
        <f>'Model inputs'!K22</f>
        <v>0</v>
      </c>
      <c r="L57" s="8">
        <f>'Model inputs'!L22</f>
        <v>0</v>
      </c>
      <c r="M57" s="8">
        <f>'Model inputs'!M93*'Model inputs'!C88</f>
        <v>11250</v>
      </c>
      <c r="N57" s="8">
        <f>'Model inputs'!N93*'Model inputs'!C88</f>
        <v>11250</v>
      </c>
      <c r="O57" s="8">
        <f>'Model inputs'!O93*'Model inputs'!C88</f>
        <v>11250</v>
      </c>
      <c r="P57" s="8">
        <f>'Model inputs'!P93*'Model inputs'!C88</f>
        <v>11250</v>
      </c>
      <c r="Q57" s="8">
        <f>'Model inputs'!Q93*'Model inputs'!C88</f>
        <v>11250</v>
      </c>
      <c r="R57" s="8">
        <f>'Model inputs'!R93*'Model inputs'!C88</f>
        <v>11250</v>
      </c>
      <c r="S57" s="8">
        <f>'Model inputs'!S93*'Model inputs'!C88</f>
        <v>11250</v>
      </c>
      <c r="T57" s="8">
        <f>'Model inputs'!T93*'Model inputs'!C88</f>
        <v>11250</v>
      </c>
      <c r="U57" s="8">
        <f>'Model inputs'!U93*'Model inputs'!C88</f>
        <v>11250</v>
      </c>
      <c r="V57" s="8">
        <f>'Model inputs'!V93*'Model inputs'!C88</f>
        <v>11250</v>
      </c>
      <c r="W57" s="8">
        <f>'Model inputs'!W93*'Model inputs'!C88</f>
        <v>11250</v>
      </c>
      <c r="X57" s="8">
        <f>'Model inputs'!X93*'Model inputs'!C88</f>
        <v>11250</v>
      </c>
      <c r="Y57" s="8">
        <f>'Model inputs'!Y93*'Model inputs'!C88</f>
        <v>11250</v>
      </c>
      <c r="Z57" s="8">
        <f>'Model inputs'!Z93*'Model inputs'!C88</f>
        <v>11250</v>
      </c>
      <c r="AA57" s="8">
        <f>'Model inputs'!AA93*'Model inputs'!C88</f>
        <v>11250</v>
      </c>
    </row>
    <row r="58" outlineLevel="1">
      <c r="A58" t="inlineStr" s="18">
        <is>
          <t xml:space="preserve">NS check costs &gt; Cyber-cafes</t>
        </is>
      </c>
      <c r="D58" s="8">
        <f>'Model inputs'!D23</f>
        <v>0</v>
      </c>
      <c r="E58" s="8">
        <f>'Model inputs'!E23</f>
        <v>0</v>
      </c>
      <c r="F58" s="8">
        <f>'Model inputs'!F23</f>
        <v>0</v>
      </c>
      <c r="G58" s="8">
        <f>'Model inputs'!G23</f>
        <v>0</v>
      </c>
      <c r="H58" s="8">
        <f>'Model inputs'!H23</f>
        <v>0</v>
      </c>
      <c r="I58" s="8">
        <f>'Model inputs'!I23</f>
        <v>0</v>
      </c>
      <c r="J58" s="8">
        <f>'Model inputs'!J23</f>
        <v>0</v>
      </c>
      <c r="K58" s="8">
        <f>'Model inputs'!K23</f>
        <v>0</v>
      </c>
      <c r="L58" s="8">
        <f>'Model inputs'!L23</f>
        <v>0</v>
      </c>
      <c r="M58" s="8">
        <f>'Model inputs'!M94*'Model inputs'!C88</f>
        <v>13500</v>
      </c>
      <c r="N58" s="8">
        <f>'Model inputs'!N94*'Model inputs'!C88</f>
        <v>13500</v>
      </c>
      <c r="O58" s="8">
        <f>'Model inputs'!O94*'Model inputs'!C88</f>
        <v>13500</v>
      </c>
      <c r="P58" s="8">
        <f>'Model inputs'!P94*'Model inputs'!C88</f>
        <v>13500</v>
      </c>
      <c r="Q58" s="8">
        <f>'Model inputs'!Q94*'Model inputs'!C88</f>
        <v>13500</v>
      </c>
      <c r="R58" s="8">
        <f>'Model inputs'!R94*'Model inputs'!C88</f>
        <v>13500</v>
      </c>
      <c r="S58" s="8">
        <f>'Model inputs'!S94*'Model inputs'!C88</f>
        <v>13500</v>
      </c>
      <c r="T58" s="8">
        <f>'Model inputs'!T94*'Model inputs'!C88</f>
        <v>13500</v>
      </c>
      <c r="U58" s="8">
        <f>'Model inputs'!U94*'Model inputs'!C88</f>
        <v>13500</v>
      </c>
      <c r="V58" s="8">
        <f>'Model inputs'!V94*'Model inputs'!C88</f>
        <v>13500</v>
      </c>
      <c r="W58" s="8">
        <f>'Model inputs'!W94*'Model inputs'!C88</f>
        <v>13500</v>
      </c>
      <c r="X58" s="8">
        <f>'Model inputs'!X94*'Model inputs'!C88</f>
        <v>13500</v>
      </c>
      <c r="Y58" s="8">
        <f>'Model inputs'!Y94*'Model inputs'!C88</f>
        <v>13500</v>
      </c>
      <c r="Z58" s="8">
        <f>'Model inputs'!Z94*'Model inputs'!C88</f>
        <v>13500</v>
      </c>
      <c r="AA58" s="8">
        <f>'Model inputs'!AA94*'Model inputs'!C88</f>
        <v>13500</v>
      </c>
    </row>
    <row r="59" outlineLevel="1">
      <c r="A59" t="inlineStr" s="18">
        <is>
          <t xml:space="preserve">NS check costs &gt; Students</t>
        </is>
      </c>
      <c r="D59" s="8">
        <f>'Model inputs'!D24</f>
        <v>0</v>
      </c>
      <c r="E59" s="8">
        <f>'Model inputs'!E24</f>
        <v>0</v>
      </c>
      <c r="F59" s="8">
        <f>'Model inputs'!F24</f>
        <v>0</v>
      </c>
      <c r="G59" s="8">
        <f>'Model inputs'!G24</f>
        <v>0</v>
      </c>
      <c r="H59" s="8">
        <f>'Model inputs'!H24</f>
        <v>0</v>
      </c>
      <c r="I59" s="8">
        <f>'Model inputs'!I24</f>
        <v>0</v>
      </c>
      <c r="J59" s="8">
        <f>'Model inputs'!J24</f>
        <v>0</v>
      </c>
      <c r="K59" s="8">
        <f>'Model inputs'!K24</f>
        <v>0</v>
      </c>
      <c r="L59" s="8">
        <f>'Model inputs'!L24</f>
        <v>0</v>
      </c>
      <c r="M59" s="8">
        <f>'Model inputs'!M95*'Model inputs'!C88</f>
        <v>13500</v>
      </c>
      <c r="N59" s="8">
        <f>'Model inputs'!N95*'Model inputs'!C88</f>
        <v>13500</v>
      </c>
      <c r="O59" s="8">
        <f>'Model inputs'!O95*'Model inputs'!C88</f>
        <v>13500</v>
      </c>
      <c r="P59" s="8">
        <f>'Model inputs'!P95*'Model inputs'!C88</f>
        <v>13500</v>
      </c>
      <c r="Q59" s="8">
        <f>'Model inputs'!Q95*'Model inputs'!C88</f>
        <v>13500</v>
      </c>
      <c r="R59" s="8">
        <f>'Model inputs'!R95*'Model inputs'!C88</f>
        <v>13500</v>
      </c>
      <c r="S59" s="8">
        <f>'Model inputs'!S95*'Model inputs'!C88</f>
        <v>13500</v>
      </c>
      <c r="T59" s="8">
        <f>'Model inputs'!T95*'Model inputs'!C88</f>
        <v>13500</v>
      </c>
      <c r="U59" s="8">
        <f>'Model inputs'!U95*'Model inputs'!C88</f>
        <v>13500</v>
      </c>
      <c r="V59" s="8">
        <f>'Model inputs'!V95*'Model inputs'!C88</f>
        <v>13500</v>
      </c>
      <c r="W59" s="8">
        <f>'Model inputs'!W95*'Model inputs'!C88</f>
        <v>13500</v>
      </c>
      <c r="X59" s="8">
        <f>'Model inputs'!X95*'Model inputs'!C88</f>
        <v>13500</v>
      </c>
      <c r="Y59" s="8">
        <f>'Model inputs'!Y95*'Model inputs'!C88</f>
        <v>13500</v>
      </c>
      <c r="Z59" s="8">
        <f>'Model inputs'!Z95*'Model inputs'!C88</f>
        <v>13500</v>
      </c>
      <c r="AA59" s="8">
        <f>'Model inputs'!AA95*'Model inputs'!C88</f>
        <v>13500</v>
      </c>
    </row>
    <row r="60">
      <c r="A60" t="inlineStr" s="17">
        <is>
          <t xml:space="preserve">NS check costs</t>
        </is>
      </c>
      <c r="D60" s="11">
        <f>IF('Model inputs'!D26="","",'Model inputs'!D26)</f>
        <v>0</v>
      </c>
      <c r="E60" s="11">
        <f>IF('Model inputs'!E26="","",'Model inputs'!E26)</f>
        <v>0</v>
      </c>
      <c r="F60" s="11">
        <f>IF('Model inputs'!F26="","",'Model inputs'!F26)</f>
        <v>0</v>
      </c>
      <c r="G60" s="11">
        <f>IF('Model inputs'!G26="","",'Model inputs'!G26)</f>
        <v>0</v>
      </c>
      <c r="H60" s="11">
        <f>IF('Model inputs'!H26="","",'Model inputs'!H26)</f>
        <v>0</v>
      </c>
      <c r="I60" s="11">
        <f>IF('Model inputs'!I26="","",'Model inputs'!I26)</f>
        <v>0</v>
      </c>
      <c r="J60" s="11">
        <f>IF('Model inputs'!J26="","",'Model inputs'!J26)</f>
        <v>0</v>
      </c>
      <c r="K60" s="11">
        <f>IF('Model inputs'!K26="","",'Model inputs'!K26)</f>
        <v>0</v>
      </c>
      <c r="L60" s="11">
        <f>IF('Model inputs'!L26="","",'Model inputs'!L26)</f>
        <v>0</v>
      </c>
      <c r="M60" s="11">
        <f>IF('Model inputs'!M26="","",'Model inputs'!M26)</f>
        <v>7200</v>
      </c>
      <c r="N60" s="11">
        <f>IF('Model inputs'!N26="","",'Model inputs'!N26)</f>
        <v>7200</v>
      </c>
      <c r="O60" s="11">
        <f>IF('Model inputs'!O26="","",'Model inputs'!O26)</f>
        <v>7200</v>
      </c>
      <c r="P60" s="11">
        <f>IF('Model inputs'!P26="","",'Model inputs'!P26)</f>
        <v>7200</v>
      </c>
      <c r="Q60" s="11">
        <f>IF('Model inputs'!Q26="","",'Model inputs'!Q26)</f>
        <v>7200</v>
      </c>
      <c r="R60" s="11">
        <f>IF('Model inputs'!R26="","",'Model inputs'!R26)</f>
        <v>7200</v>
      </c>
      <c r="S60" s="11">
        <f>IF('Model inputs'!S26="","",'Model inputs'!S26)</f>
        <v>7200</v>
      </c>
      <c r="T60" s="11">
        <f>IF('Model inputs'!T26="","",'Model inputs'!T26)</f>
        <v>7200</v>
      </c>
      <c r="U60" s="11">
        <f>IF('Model inputs'!U26="","",'Model inputs'!U26)</f>
        <v>7200</v>
      </c>
      <c r="V60" s="11">
        <f>IF('Model inputs'!V26="","",'Model inputs'!V26)</f>
        <v>7200</v>
      </c>
      <c r="W60" s="11">
        <f>IF('Model inputs'!W26="","",'Model inputs'!W26)</f>
        <v>7200</v>
      </c>
      <c r="X60" s="11">
        <f>IF('Model inputs'!X26="","",'Model inputs'!X26)</f>
        <v>7200</v>
      </c>
      <c r="Y60" s="11">
        <f>IF('Model inputs'!Y26="","",'Model inputs'!Y26)</f>
        <v>7200</v>
      </c>
      <c r="Z60" s="11">
        <f>IF('Model inputs'!Z26="","",'Model inputs'!Z26)</f>
        <v>7200</v>
      </c>
      <c r="AA60" s="11">
        <f>IF('Model inputs'!AA26="","",'Model inputs'!AA26)</f>
        <v>7200</v>
      </c>
    </row>
    <row r="61" outlineLevel="1">
      <c r="A61" t="inlineStr" s="18">
        <is>
          <t xml:space="preserve">NS check costs &gt; API</t>
        </is>
      </c>
      <c r="D61" s="8">
        <f>'Model inputs'!D22</f>
        <v>0</v>
      </c>
      <c r="E61" s="8">
        <f>'Model inputs'!E22</f>
        <v>0</v>
      </c>
      <c r="F61" s="8">
        <f>'Model inputs'!F22</f>
        <v>0</v>
      </c>
      <c r="G61" s="8">
        <f>'Model inputs'!G22</f>
        <v>0</v>
      </c>
      <c r="H61" s="8">
        <f>'Model inputs'!H22</f>
        <v>0</v>
      </c>
      <c r="I61" s="8">
        <f>'Model inputs'!I22</f>
        <v>0</v>
      </c>
      <c r="J61" s="8">
        <f>'Model inputs'!J22</f>
        <v>0</v>
      </c>
      <c r="K61" s="8">
        <f>'Model inputs'!K22</f>
        <v>0</v>
      </c>
      <c r="L61" s="8">
        <f>'Model inputs'!L22</f>
        <v>0</v>
      </c>
      <c r="M61" s="8">
        <f>'Model inputs'!M97*'Model inputs'!C89</f>
        <v>0</v>
      </c>
      <c r="N61" s="8">
        <f>'Model inputs'!N97*'Model inputs'!C89</f>
        <v>0</v>
      </c>
      <c r="O61" s="8">
        <f>'Model inputs'!O97*'Model inputs'!C89</f>
        <v>0</v>
      </c>
      <c r="P61" s="8">
        <f>'Model inputs'!P97*'Model inputs'!C89</f>
        <v>0</v>
      </c>
      <c r="Q61" s="8">
        <f>'Model inputs'!Q97*'Model inputs'!C89</f>
        <v>0</v>
      </c>
      <c r="R61" s="8">
        <f>'Model inputs'!R97*'Model inputs'!C89</f>
        <v>0</v>
      </c>
      <c r="S61" s="8">
        <f>'Model inputs'!S97*'Model inputs'!C89</f>
        <v>0</v>
      </c>
      <c r="T61" s="8">
        <f>'Model inputs'!T97*'Model inputs'!C89</f>
        <v>0</v>
      </c>
      <c r="U61" s="8">
        <f>'Model inputs'!U97*'Model inputs'!C89</f>
        <v>0</v>
      </c>
      <c r="V61" s="8">
        <f>'Model inputs'!V97*'Model inputs'!C89</f>
        <v>0</v>
      </c>
      <c r="W61" s="8">
        <f>'Model inputs'!W97*'Model inputs'!C89</f>
        <v>0</v>
      </c>
      <c r="X61" s="8">
        <f>'Model inputs'!X97*'Model inputs'!C89</f>
        <v>0</v>
      </c>
      <c r="Y61" s="8">
        <f>'Model inputs'!Y97*'Model inputs'!C89</f>
        <v>0</v>
      </c>
      <c r="Z61" s="8">
        <f>'Model inputs'!Z97*'Model inputs'!C89</f>
        <v>0</v>
      </c>
      <c r="AA61" s="8">
        <f>'Model inputs'!AA97*'Model inputs'!C89</f>
        <v>0</v>
      </c>
    </row>
    <row r="62" outlineLevel="1">
      <c r="A62" t="inlineStr" s="18">
        <is>
          <t xml:space="preserve">NS check costs &gt; Cyber-cafes</t>
        </is>
      </c>
      <c r="D62" s="8">
        <f>'Model inputs'!D23</f>
        <v>0</v>
      </c>
      <c r="E62" s="8">
        <f>'Model inputs'!E23</f>
        <v>0</v>
      </c>
      <c r="F62" s="8">
        <f>'Model inputs'!F23</f>
        <v>0</v>
      </c>
      <c r="G62" s="8">
        <f>'Model inputs'!G23</f>
        <v>0</v>
      </c>
      <c r="H62" s="8">
        <f>'Model inputs'!H23</f>
        <v>0</v>
      </c>
      <c r="I62" s="8">
        <f>'Model inputs'!I23</f>
        <v>0</v>
      </c>
      <c r="J62" s="8">
        <f>'Model inputs'!J23</f>
        <v>0</v>
      </c>
      <c r="K62" s="8">
        <f>'Model inputs'!K23</f>
        <v>0</v>
      </c>
      <c r="L62" s="8">
        <f>'Model inputs'!L23</f>
        <v>0</v>
      </c>
      <c r="M62" s="8">
        <f>'Model inputs'!M98*'Model inputs'!C89</f>
        <v>450</v>
      </c>
      <c r="N62" s="8">
        <f>'Model inputs'!N98*'Model inputs'!C89</f>
        <v>450</v>
      </c>
      <c r="O62" s="8">
        <f>'Model inputs'!O98*'Model inputs'!C89</f>
        <v>450</v>
      </c>
      <c r="P62" s="8">
        <f>'Model inputs'!P98*'Model inputs'!C89</f>
        <v>450</v>
      </c>
      <c r="Q62" s="8">
        <f>'Model inputs'!Q98*'Model inputs'!C89</f>
        <v>450</v>
      </c>
      <c r="R62" s="8">
        <f>'Model inputs'!R98*'Model inputs'!C89</f>
        <v>450</v>
      </c>
      <c r="S62" s="8">
        <f>'Model inputs'!S98*'Model inputs'!C89</f>
        <v>450</v>
      </c>
      <c r="T62" s="8">
        <f>'Model inputs'!T98*'Model inputs'!C89</f>
        <v>450</v>
      </c>
      <c r="U62" s="8">
        <f>'Model inputs'!U98*'Model inputs'!C89</f>
        <v>450</v>
      </c>
      <c r="V62" s="8">
        <f>'Model inputs'!V98*'Model inputs'!C89</f>
        <v>450</v>
      </c>
      <c r="W62" s="8">
        <f>'Model inputs'!W98*'Model inputs'!C89</f>
        <v>450</v>
      </c>
      <c r="X62" s="8">
        <f>'Model inputs'!X98*'Model inputs'!C89</f>
        <v>450</v>
      </c>
      <c r="Y62" s="8">
        <f>'Model inputs'!Y98*'Model inputs'!C89</f>
        <v>450</v>
      </c>
      <c r="Z62" s="8">
        <f>'Model inputs'!Z98*'Model inputs'!C89</f>
        <v>450</v>
      </c>
      <c r="AA62" s="8">
        <f>'Model inputs'!AA98*'Model inputs'!C89</f>
        <v>450</v>
      </c>
    </row>
    <row r="63" outlineLevel="1">
      <c r="A63" t="inlineStr" s="18">
        <is>
          <t xml:space="preserve">NS check costs &gt; Students</t>
        </is>
      </c>
      <c r="D63" s="8">
        <f>'Model inputs'!D24</f>
        <v>0</v>
      </c>
      <c r="E63" s="8">
        <f>'Model inputs'!E24</f>
        <v>0</v>
      </c>
      <c r="F63" s="8">
        <f>'Model inputs'!F24</f>
        <v>0</v>
      </c>
      <c r="G63" s="8">
        <f>'Model inputs'!G24</f>
        <v>0</v>
      </c>
      <c r="H63" s="8">
        <f>'Model inputs'!H24</f>
        <v>0</v>
      </c>
      <c r="I63" s="8">
        <f>'Model inputs'!I24</f>
        <v>0</v>
      </c>
      <c r="J63" s="8">
        <f>'Model inputs'!J24</f>
        <v>0</v>
      </c>
      <c r="K63" s="8">
        <f>'Model inputs'!K24</f>
        <v>0</v>
      </c>
      <c r="L63" s="8">
        <f>'Model inputs'!L24</f>
        <v>0</v>
      </c>
      <c r="M63" s="8">
        <f>'Model inputs'!M99*'Model inputs'!C89</f>
        <v>6750</v>
      </c>
      <c r="N63" s="8">
        <f>'Model inputs'!N99*'Model inputs'!C89</f>
        <v>6750</v>
      </c>
      <c r="O63" s="8">
        <f>'Model inputs'!O99*'Model inputs'!C89</f>
        <v>6750</v>
      </c>
      <c r="P63" s="8">
        <f>'Model inputs'!P99*'Model inputs'!C89</f>
        <v>6750</v>
      </c>
      <c r="Q63" s="8">
        <f>'Model inputs'!Q99*'Model inputs'!C89</f>
        <v>6750</v>
      </c>
      <c r="R63" s="8">
        <f>'Model inputs'!R99*'Model inputs'!C89</f>
        <v>6750</v>
      </c>
      <c r="S63" s="8">
        <f>'Model inputs'!S99*'Model inputs'!C89</f>
        <v>6750</v>
      </c>
      <c r="T63" s="8">
        <f>'Model inputs'!T99*'Model inputs'!C89</f>
        <v>6750</v>
      </c>
      <c r="U63" s="8">
        <f>'Model inputs'!U99*'Model inputs'!C89</f>
        <v>6750</v>
      </c>
      <c r="V63" s="8">
        <f>'Model inputs'!V99*'Model inputs'!C89</f>
        <v>6750</v>
      </c>
      <c r="W63" s="8">
        <f>'Model inputs'!W99*'Model inputs'!C89</f>
        <v>6750</v>
      </c>
      <c r="X63" s="8">
        <f>'Model inputs'!X99*'Model inputs'!C89</f>
        <v>6750</v>
      </c>
      <c r="Y63" s="8">
        <f>'Model inputs'!Y99*'Model inputs'!C89</f>
        <v>6750</v>
      </c>
      <c r="Z63" s="8">
        <f>'Model inputs'!Z99*'Model inputs'!C89</f>
        <v>6750</v>
      </c>
      <c r="AA63" s="8">
        <f>'Model inputs'!AA99*'Model inputs'!C89</f>
        <v>6750</v>
      </c>
    </row>
    <row r="64">
      <c r="A64" t="inlineStr" s="17">
        <is>
          <t xml:space="preserve">NS checks</t>
        </is>
      </c>
      <c r="D64" s="6">
        <f>SUM('Model inputs'!D65,'Model inputs'!D66,'Model inputs'!D67)</f>
        <v>0</v>
      </c>
      <c r="E64" s="6">
        <f>SUM('Model inputs'!E65,'Model inputs'!E66,'Model inputs'!E67)</f>
        <v>0</v>
      </c>
      <c r="F64" s="6">
        <f>SUM('Model inputs'!F65,'Model inputs'!F66,'Model inputs'!F67)</f>
        <v>0</v>
      </c>
      <c r="G64" s="6">
        <f>SUM('Model inputs'!G65,'Model inputs'!G66,'Model inputs'!G67)</f>
        <v>0</v>
      </c>
      <c r="H64" s="6">
        <f>SUM('Model inputs'!H65,'Model inputs'!H66,'Model inputs'!H67)</f>
        <v>0</v>
      </c>
      <c r="I64" s="6">
        <f>SUM('Model inputs'!I65,'Model inputs'!I66,'Model inputs'!I67)</f>
        <v>0</v>
      </c>
      <c r="J64" s="6">
        <f>SUM('Model inputs'!J65,'Model inputs'!J66,'Model inputs'!J67)</f>
        <v>0</v>
      </c>
      <c r="K64" s="6">
        <f>SUM('Model inputs'!K65,'Model inputs'!K66,'Model inputs'!K67)</f>
        <v>0</v>
      </c>
      <c r="L64" s="6">
        <f>SUM('Model inputs'!L65,'Model inputs'!L66,'Model inputs'!L67)</f>
        <v>0</v>
      </c>
      <c r="M64" s="6">
        <f>SUM('Model inputs'!M65,'Model inputs'!M66,'Model inputs'!M67)</f>
        <v>7500</v>
      </c>
      <c r="N64" s="6">
        <f>IF('Model inputs'!N50="","",'Model inputs'!N50)</f>
        <v>7500</v>
      </c>
      <c r="O64" s="6">
        <f>IF('Model inputs'!O50="","",'Model inputs'!O50)</f>
        <v>7500</v>
      </c>
      <c r="P64" s="6">
        <f>IF('Model inputs'!P50="","",'Model inputs'!P50)</f>
        <v>7500</v>
      </c>
      <c r="Q64" s="6">
        <f>IF('Model inputs'!Q50="","",'Model inputs'!Q50)</f>
        <v>7500</v>
      </c>
      <c r="R64" s="6">
        <f>IF('Model inputs'!R50="","",'Model inputs'!R50)</f>
        <v>7500</v>
      </c>
      <c r="S64" s="6">
        <f>IF('Model inputs'!S50="","",'Model inputs'!S50)</f>
        <v>7500</v>
      </c>
      <c r="T64" s="6">
        <f>IF('Model inputs'!T50="","",'Model inputs'!T50)</f>
        <v>7500</v>
      </c>
      <c r="U64" s="6">
        <f>IF('Model inputs'!U50="","",'Model inputs'!U50)</f>
        <v>7500</v>
      </c>
      <c r="V64" s="6">
        <f>IF('Model inputs'!V50="","",'Model inputs'!V50)</f>
        <v>7500</v>
      </c>
      <c r="W64" s="6">
        <f>IF('Model inputs'!W50="","",'Model inputs'!W50)</f>
        <v>7500</v>
      </c>
      <c r="X64" s="6">
        <f>IF('Model inputs'!X50="","",'Model inputs'!X50)</f>
        <v>7500</v>
      </c>
      <c r="Y64" s="6">
        <f>IF('Model inputs'!Y50="","",'Model inputs'!Y50)</f>
        <v>7500</v>
      </c>
      <c r="Z64" s="6">
        <f>SUM('Model inputs'!Z65,'Model inputs'!Z66,'Model inputs'!Z67)</f>
        <v>7500</v>
      </c>
      <c r="AA64" s="6">
        <f>SUM('Model inputs'!AA65,'Model inputs'!AA66,'Model inputs'!AA67)</f>
        <v>7500</v>
      </c>
    </row>
    <row r="65" outlineLevel="1">
      <c r="A65" t="inlineStr" s="18">
        <is>
          <t xml:space="preserve">NS checks &gt; API</t>
        </is>
      </c>
      <c r="D65" s="10">
        <f>0</f>
        <v>0</v>
      </c>
      <c r="E65" s="10">
        <f>0</f>
        <v>0</v>
      </c>
      <c r="F65" s="10">
        <f>0</f>
        <v>0</v>
      </c>
      <c r="G65" s="10">
        <f>0</f>
        <v>0</v>
      </c>
      <c r="H65" s="10">
        <f>0</f>
        <v>0</v>
      </c>
      <c r="I65" s="10">
        <f>0</f>
        <v>0</v>
      </c>
      <c r="J65" s="10">
        <f>0</f>
        <v>0</v>
      </c>
      <c r="K65" s="10">
        <f>0</f>
        <v>0</v>
      </c>
      <c r="L65" s="10">
        <f>0</f>
        <v>0</v>
      </c>
      <c r="M65" s="10">
        <f>IF(EXACT("API","Cyber-cafes"),'Model inputs'!C43*'Model inputs'!B12,IF(EXACT("API","API"),'Model inputs'!B46/12,'Model inputs'!B6*MIN('Model inputs'!B14,'Model inputs'!B44)))</f>
        <v>2500</v>
      </c>
      <c r="N65" s="10">
        <f>IF('Model inputs'!N51="","",'Model inputs'!N51)</f>
        <v>2500</v>
      </c>
      <c r="O65" s="10">
        <f>IF('Model inputs'!O51="","",'Model inputs'!O51)</f>
        <v>2500</v>
      </c>
      <c r="P65" s="10">
        <f>IF('Model inputs'!P51="","",'Model inputs'!P51)</f>
        <v>2500</v>
      </c>
      <c r="Q65" s="10">
        <f>IF('Model inputs'!Q51="","",'Model inputs'!Q51)</f>
        <v>2500</v>
      </c>
      <c r="R65" s="10">
        <f>IF('Model inputs'!R51="","",'Model inputs'!R51)</f>
        <v>2500</v>
      </c>
      <c r="S65" s="10">
        <f>IF('Model inputs'!S51="","",'Model inputs'!S51)</f>
        <v>2500</v>
      </c>
      <c r="T65" s="10">
        <f>IF('Model inputs'!T51="","",'Model inputs'!T51)</f>
        <v>2500</v>
      </c>
      <c r="U65" s="10">
        <f>IF('Model inputs'!U51="","",'Model inputs'!U51)</f>
        <v>2500</v>
      </c>
      <c r="V65" s="10">
        <f>IF('Model inputs'!V51="","",'Model inputs'!V51)</f>
        <v>2500</v>
      </c>
      <c r="W65" s="10">
        <f>IF('Model inputs'!W51="","",'Model inputs'!W51)</f>
        <v>2500</v>
      </c>
      <c r="X65" s="10">
        <f>IF('Model inputs'!X51="","",'Model inputs'!X51)</f>
        <v>2500</v>
      </c>
      <c r="Y65" s="10">
        <f>IF('Model inputs'!Y51="","",'Model inputs'!Y51)</f>
        <v>2500</v>
      </c>
      <c r="Z65" s="10">
        <f>IF(EXACT("API","Cyber-cafes"),'Model inputs'!C43*'Model inputs'!B12,IF(EXACT("API","API"),'Model inputs'!B46/12,'Model inputs'!B6*MIN('Model inputs'!B14,'Model inputs'!B44)))</f>
        <v>2500</v>
      </c>
      <c r="AA65" s="10">
        <f>IF(EXACT("API","Cyber-cafes"),'Model inputs'!C43*'Model inputs'!B12,IF(EXACT("API","API"),'Model inputs'!B46/12,'Model inputs'!B6*MIN('Model inputs'!B14,'Model inputs'!B44)))</f>
        <v>2500</v>
      </c>
    </row>
    <row r="66" outlineLevel="1">
      <c r="A66" t="inlineStr" s="18">
        <is>
          <t xml:space="preserve">NS checks &gt; Cyber-cafes</t>
        </is>
      </c>
      <c r="D66" s="10">
        <f>0</f>
        <v>0</v>
      </c>
      <c r="E66" s="10">
        <f>0</f>
        <v>0</v>
      </c>
      <c r="F66" s="10">
        <f>0</f>
        <v>0</v>
      </c>
      <c r="G66" s="10">
        <f>0</f>
        <v>0</v>
      </c>
      <c r="H66" s="10">
        <f>0</f>
        <v>0</v>
      </c>
      <c r="I66" s="10">
        <f>0</f>
        <v>0</v>
      </c>
      <c r="J66" s="10">
        <f>0</f>
        <v>0</v>
      </c>
      <c r="K66" s="10">
        <f>0</f>
        <v>0</v>
      </c>
      <c r="L66" s="10">
        <f>0</f>
        <v>0</v>
      </c>
      <c r="M66" s="10">
        <f>IF(EXACT("Cyber-cafes","Cyber-cafes"),'Model inputs'!C43*'Model inputs'!B12,IF(EXACT("Cyber-cafes","API"),'Model inputs'!B46/12,'Model inputs'!B6*MIN('Model inputs'!B14,'Model inputs'!B44)))</f>
        <v>2000</v>
      </c>
      <c r="N66" s="10">
        <f>IF('Model inputs'!N52="","",'Model inputs'!N52)</f>
        <v>2000</v>
      </c>
      <c r="O66" s="10">
        <f>IF('Model inputs'!O52="","",'Model inputs'!O52)</f>
        <v>2000</v>
      </c>
      <c r="P66" s="10">
        <f>IF('Model inputs'!P52="","",'Model inputs'!P52)</f>
        <v>2000</v>
      </c>
      <c r="Q66" s="10">
        <f>IF('Model inputs'!Q52="","",'Model inputs'!Q52)</f>
        <v>2000</v>
      </c>
      <c r="R66" s="10">
        <f>IF('Model inputs'!R52="","",'Model inputs'!R52)</f>
        <v>2000</v>
      </c>
      <c r="S66" s="10">
        <f>IF('Model inputs'!S52="","",'Model inputs'!S52)</f>
        <v>2000</v>
      </c>
      <c r="T66" s="10">
        <f>IF('Model inputs'!T52="","",'Model inputs'!T52)</f>
        <v>2000</v>
      </c>
      <c r="U66" s="10">
        <f>IF('Model inputs'!U52="","",'Model inputs'!U52)</f>
        <v>2000</v>
      </c>
      <c r="V66" s="10">
        <f>IF('Model inputs'!V52="","",'Model inputs'!V52)</f>
        <v>2000</v>
      </c>
      <c r="W66" s="10">
        <f>IF('Model inputs'!W52="","",'Model inputs'!W52)</f>
        <v>2000</v>
      </c>
      <c r="X66" s="10">
        <f>IF('Model inputs'!X52="","",'Model inputs'!X52)</f>
        <v>2000</v>
      </c>
      <c r="Y66" s="10">
        <f>IF('Model inputs'!Y52="","",'Model inputs'!Y52)</f>
        <v>2000</v>
      </c>
      <c r="Z66" s="10">
        <f>IF(EXACT("Cyber-cafes","Cyber-cafes"),'Model inputs'!C43*'Model inputs'!B12,IF(EXACT("Cyber-cafes","API"),'Model inputs'!B46/12,'Model inputs'!B6*MIN('Model inputs'!B14,'Model inputs'!B44)))</f>
        <v>2000</v>
      </c>
      <c r="AA66" s="10">
        <f>IF(EXACT("Cyber-cafes","Cyber-cafes"),'Model inputs'!C43*'Model inputs'!B12,IF(EXACT("Cyber-cafes","API"),'Model inputs'!B46/12,'Model inputs'!B6*MIN('Model inputs'!B14,'Model inputs'!B44)))</f>
        <v>2000</v>
      </c>
    </row>
    <row r="67" outlineLevel="1">
      <c r="A67" t="inlineStr" s="18">
        <is>
          <t xml:space="preserve">NS checks &gt; Students</t>
        </is>
      </c>
      <c r="D67" s="10">
        <f>0</f>
        <v>0</v>
      </c>
      <c r="E67" s="10">
        <f>0</f>
        <v>0</v>
      </c>
      <c r="F67" s="10">
        <f>0</f>
        <v>0</v>
      </c>
      <c r="G67" s="10">
        <f>0</f>
        <v>0</v>
      </c>
      <c r="H67" s="10">
        <f>0</f>
        <v>0</v>
      </c>
      <c r="I67" s="10">
        <f>0</f>
        <v>0</v>
      </c>
      <c r="J67" s="10">
        <f>0</f>
        <v>0</v>
      </c>
      <c r="K67" s="10">
        <f>0</f>
        <v>0</v>
      </c>
      <c r="L67" s="10">
        <f>0</f>
        <v>0</v>
      </c>
      <c r="M67" s="10">
        <f>IF(EXACT("Students","Cyber-cafes"),'Model inputs'!C43*'Model inputs'!B12,IF(EXACT("Students","API"),'Model inputs'!B46/12,'Model inputs'!B6*MIN('Model inputs'!B14,'Model inputs'!B44)))</f>
        <v>3000</v>
      </c>
      <c r="N67" s="10">
        <f>IF('Model inputs'!N53="","",'Model inputs'!N53)</f>
        <v>3000</v>
      </c>
      <c r="O67" s="10">
        <f>IF('Model inputs'!O53="","",'Model inputs'!O53)</f>
        <v>3000</v>
      </c>
      <c r="P67" s="10">
        <f>IF('Model inputs'!P53="","",'Model inputs'!P53)</f>
        <v>3000</v>
      </c>
      <c r="Q67" s="10">
        <f>IF('Model inputs'!Q53="","",'Model inputs'!Q53)</f>
        <v>3000</v>
      </c>
      <c r="R67" s="10">
        <f>IF('Model inputs'!R53="","",'Model inputs'!R53)</f>
        <v>3000</v>
      </c>
      <c r="S67" s="10">
        <f>IF('Model inputs'!S53="","",'Model inputs'!S53)</f>
        <v>3000</v>
      </c>
      <c r="T67" s="10">
        <f>IF('Model inputs'!T53="","",'Model inputs'!T53)</f>
        <v>3000</v>
      </c>
      <c r="U67" s="10">
        <f>IF('Model inputs'!U53="","",'Model inputs'!U53)</f>
        <v>3000</v>
      </c>
      <c r="V67" s="10">
        <f>IF('Model inputs'!V53="","",'Model inputs'!V53)</f>
        <v>3000</v>
      </c>
      <c r="W67" s="10">
        <f>IF('Model inputs'!W53="","",'Model inputs'!W53)</f>
        <v>3000</v>
      </c>
      <c r="X67" s="10">
        <f>IF('Model inputs'!X53="","",'Model inputs'!X53)</f>
        <v>3000</v>
      </c>
      <c r="Y67" s="10">
        <f>IF('Model inputs'!Y53="","",'Model inputs'!Y53)</f>
        <v>3000</v>
      </c>
      <c r="Z67" s="10">
        <f>IF(EXACT("Students","Cyber-cafes"),'Model inputs'!C43*'Model inputs'!B12,IF(EXACT("Students","API"),'Model inputs'!B46/12,'Model inputs'!B6*MIN('Model inputs'!B14,'Model inputs'!B44)))</f>
        <v>3000</v>
      </c>
      <c r="AA67" s="10">
        <f>IF(EXACT("Students","Cyber-cafes"),'Model inputs'!C43*'Model inputs'!B12,IF(EXACT("Students","API"),'Model inputs'!B46/12,'Model inputs'!B6*MIN('Model inputs'!B14,'Model inputs'!B44)))</f>
        <v>3000</v>
      </c>
    </row>
    <row r="68">
      <c r="A68" t="inlineStr" s="17">
        <is>
          <t xml:space="preserve">NS gross profit · NS operating profit · Year 1 totals and 45-cafe break-even · Main Scenario · Main Scenario</t>
        </is>
      </c>
      <c r="D68" s="8">
        <v>0</v>
      </c>
      <c r="E68" s="8">
        <v>0</v>
      </c>
      <c r="F68" s="8">
        <v>0</v>
      </c>
      <c r="G68" s="8">
        <v>0</v>
      </c>
      <c r="H68" s="8">
        <v>0</v>
      </c>
      <c r="I68" s="8">
        <v>0</v>
      </c>
      <c r="J68" s="8">
        <v>0</v>
      </c>
      <c r="K68" s="8">
        <f>IF('Model inputs'!K54="","",'Model inputs'!K54)</f>
        <v>0</v>
      </c>
      <c r="L68" s="8">
        <f>IF('Model inputs'!L54="","",'Model inputs'!L54)</f>
        <v>0</v>
      </c>
      <c r="M68" s="8">
        <f>IF('Model inputs'!M54="","",'Model inputs'!M54)</f>
        <v>205425</v>
      </c>
      <c r="N68" s="8">
        <f>IF('Model inputs'!N54="","",'Model inputs'!N54)</f>
        <v>205425</v>
      </c>
      <c r="O68" s="8">
        <f>IF('Model inputs'!O54="","",'Model inputs'!O54)</f>
        <v>205425</v>
      </c>
      <c r="P68" s="8">
        <f>IF('Model inputs'!P54="","",'Model inputs'!P54)</f>
        <v>205425</v>
      </c>
      <c r="Q68" s="8">
        <f>IF('Model inputs'!Q54="","",'Model inputs'!Q54)</f>
        <v>205425</v>
      </c>
      <c r="R68" s="8">
        <f>IF('Model inputs'!R54="","",'Model inputs'!R54)</f>
        <v>205425</v>
      </c>
      <c r="S68" s="8">
        <f>IF('Model inputs'!S54="","",'Model inputs'!S54)</f>
        <v>205425</v>
      </c>
      <c r="T68" s="8">
        <f>IF('Model inputs'!T54="","",'Model inputs'!T54)</f>
        <v>205425</v>
      </c>
      <c r="U68" s="8">
        <f>IF('Model inputs'!U54="","",'Model inputs'!U54)</f>
        <v>205425</v>
      </c>
      <c r="V68" s="8">
        <f>IF('Model inputs'!V54="","",'Model inputs'!V54)</f>
        <v>205425</v>
      </c>
      <c r="W68" s="8">
        <f>IF('Model inputs'!W54="","",'Model inputs'!W54)</f>
        <v>205425</v>
      </c>
      <c r="X68" s="8">
        <f>IF('Model inputs'!X54="","",'Model inputs'!X54)</f>
        <v>205425</v>
      </c>
      <c r="Y68" s="8">
        <f>IF('Model inputs'!Y54="","",'Model inputs'!Y54)</f>
        <v>205425</v>
      </c>
      <c r="Z68" s="8">
        <f>'Model inputs'!Z32-'Model inputs'!Z20</f>
        <v>205425</v>
      </c>
      <c r="AA68" s="8">
        <f>'Model inputs'!AA32-'Model inputs'!AA20</f>
        <v>205425</v>
      </c>
    </row>
    <row r="69">
      <c r="A69" t="inlineStr" s="17">
        <is>
          <t xml:space="preserve">NS gross profit · NS operating profit · NaukriShield — Upside · NaukriShield — Upside</t>
        </is>
      </c>
      <c r="D69" s="8">
        <v>0</v>
      </c>
      <c r="E69" s="8">
        <v>0</v>
      </c>
      <c r="F69" s="8">
        <v>0</v>
      </c>
      <c r="G69" s="8">
        <v>0</v>
      </c>
      <c r="H69" s="8">
        <v>0</v>
      </c>
      <c r="I69" s="8">
        <v>0</v>
      </c>
      <c r="J69" s="8">
        <v>0</v>
      </c>
      <c r="K69" s="8">
        <v>0</v>
      </c>
      <c r="L69" s="8">
        <v>0</v>
      </c>
      <c r="M69" s="8">
        <f>'Model inputs'!M37-'Model inputs'!M25</f>
        <v>356450</v>
      </c>
      <c r="N69" s="8">
        <f>'Model inputs'!N37-'Model inputs'!N25</f>
        <v>356450</v>
      </c>
      <c r="O69" s="8">
        <f>'Model inputs'!O37-'Model inputs'!O25</f>
        <v>356450</v>
      </c>
      <c r="P69" s="8">
        <f>'Model inputs'!P37-'Model inputs'!P25</f>
        <v>356450</v>
      </c>
      <c r="Q69" s="8">
        <f>'Model inputs'!Q37-'Model inputs'!Q25</f>
        <v>356450</v>
      </c>
      <c r="R69" s="8">
        <f>'Model inputs'!R37-'Model inputs'!R25</f>
        <v>356450</v>
      </c>
      <c r="S69" s="8">
        <f>'Model inputs'!S37-'Model inputs'!S25</f>
        <v>356450</v>
      </c>
      <c r="T69" s="8">
        <f>'Model inputs'!T37-'Model inputs'!T25</f>
        <v>356450</v>
      </c>
      <c r="U69" s="8">
        <f>'Model inputs'!U37-'Model inputs'!U25</f>
        <v>356450</v>
      </c>
      <c r="V69" s="8">
        <f>'Model inputs'!V37-'Model inputs'!V25</f>
        <v>356450</v>
      </c>
      <c r="W69" s="8">
        <f>'Model inputs'!W37-'Model inputs'!W25</f>
        <v>356450</v>
      </c>
      <c r="X69" s="8">
        <f>'Model inputs'!X37-'Model inputs'!X25</f>
        <v>356450</v>
      </c>
      <c r="Y69" s="8">
        <f>'Model inputs'!Y37-'Model inputs'!Y25</f>
        <v>356450</v>
      </c>
      <c r="Z69" s="8">
        <f>'Model inputs'!Z37-'Model inputs'!Z25</f>
        <v>356450</v>
      </c>
      <c r="AA69" s="8">
        <f>'Model inputs'!AA37-'Model inputs'!AA25</f>
        <v>356450</v>
      </c>
    </row>
    <row r="70">
      <c r="A70" t="inlineStr" s="17">
        <is>
          <t xml:space="preserve">NS gross profit · NS operating profit · NaukriShield — Downside · NaukriShield — Downside</t>
        </is>
      </c>
      <c r="D70" s="8">
        <v>0</v>
      </c>
      <c r="E70" s="8">
        <v>0</v>
      </c>
      <c r="F70" s="8">
        <v>0</v>
      </c>
      <c r="G70" s="8">
        <v>0</v>
      </c>
      <c r="H70" s="8">
        <v>0</v>
      </c>
      <c r="I70" s="8">
        <v>0</v>
      </c>
      <c r="J70" s="8">
        <v>0</v>
      </c>
      <c r="K70" s="8">
        <v>0</v>
      </c>
      <c r="L70" s="8">
        <v>0</v>
      </c>
      <c r="M70" s="8">
        <f>'Model inputs'!M38-'Model inputs'!M26</f>
        <v>2780</v>
      </c>
      <c r="N70" s="8">
        <f>'Model inputs'!N38-'Model inputs'!N26</f>
        <v>2780</v>
      </c>
      <c r="O70" s="8">
        <f>'Model inputs'!O38-'Model inputs'!O26</f>
        <v>2780</v>
      </c>
      <c r="P70" s="8">
        <f>'Model inputs'!P38-'Model inputs'!P26</f>
        <v>2780</v>
      </c>
      <c r="Q70" s="8">
        <f>'Model inputs'!Q38-'Model inputs'!Q26</f>
        <v>2780</v>
      </c>
      <c r="R70" s="8">
        <f>'Model inputs'!R38-'Model inputs'!R26</f>
        <v>2780</v>
      </c>
      <c r="S70" s="8">
        <f>'Model inputs'!S38-'Model inputs'!S26</f>
        <v>2780</v>
      </c>
      <c r="T70" s="8">
        <f>'Model inputs'!T38-'Model inputs'!T26</f>
        <v>2780</v>
      </c>
      <c r="U70" s="8">
        <f>'Model inputs'!U38-'Model inputs'!U26</f>
        <v>2780</v>
      </c>
      <c r="V70" s="8">
        <f>'Model inputs'!V38-'Model inputs'!V26</f>
        <v>2780</v>
      </c>
      <c r="W70" s="8">
        <f>'Model inputs'!W38-'Model inputs'!W26</f>
        <v>2780</v>
      </c>
      <c r="X70" s="8">
        <f>'Model inputs'!X38-'Model inputs'!X26</f>
        <v>2780</v>
      </c>
      <c r="Y70" s="8">
        <f>'Model inputs'!Y38-'Model inputs'!Y26</f>
        <v>2780</v>
      </c>
      <c r="Z70" s="8">
        <f>'Model inputs'!Z38-'Model inputs'!Z26</f>
        <v>2780</v>
      </c>
      <c r="AA70" s="8">
        <f>'Model inputs'!AA38-'Model inputs'!AA26</f>
        <v>2780</v>
      </c>
    </row>
    <row r="71">
      <c r="A71" t="inlineStr" s="17">
        <is>
          <t xml:space="preserve">NS overhead · NS operating profit · Year 1 totals and 45-cafe break-even · Main Scenario · Main Scenario</t>
        </is>
      </c>
      <c r="D71" s="8">
        <v>0</v>
      </c>
      <c r="E71" s="8">
        <v>0</v>
      </c>
      <c r="F71" s="8">
        <v>0</v>
      </c>
      <c r="G71" s="8">
        <v>0</v>
      </c>
      <c r="H71" s="8">
        <v>0</v>
      </c>
      <c r="I71" s="8">
        <v>0</v>
      </c>
      <c r="J71" s="8">
        <v>0</v>
      </c>
      <c r="K71" s="8">
        <f>IF('Model inputs'!K55="","",'Model inputs'!K55)</f>
        <v>0</v>
      </c>
      <c r="L71" s="8">
        <f>IF('Model inputs'!L55="","",'Model inputs'!L55)</f>
        <v>0</v>
      </c>
      <c r="M71" s="8">
        <f>IF('Model inputs'!M55="","",'Model inputs'!M55)</f>
        <v>14692.5</v>
      </c>
      <c r="N71" s="8">
        <f>IF('Model inputs'!N55="","",'Model inputs'!N55)</f>
        <v>14692.5</v>
      </c>
      <c r="O71" s="8">
        <f>IF('Model inputs'!O55="","",'Model inputs'!O55)</f>
        <v>14692.5</v>
      </c>
      <c r="P71" s="8">
        <f>IF('Model inputs'!P55="","",'Model inputs'!P55)</f>
        <v>14692.5</v>
      </c>
      <c r="Q71" s="8">
        <f>IF('Model inputs'!Q55="","",'Model inputs'!Q55)</f>
        <v>14692.5</v>
      </c>
      <c r="R71" s="8">
        <f>IF('Model inputs'!R55="","",'Model inputs'!R55)</f>
        <v>14692.5</v>
      </c>
      <c r="S71" s="8">
        <f>IF('Model inputs'!S55="","",'Model inputs'!S55)</f>
        <v>14692.5</v>
      </c>
      <c r="T71" s="8">
        <f>IF('Model inputs'!T55="","",'Model inputs'!T55)</f>
        <v>14692.5</v>
      </c>
      <c r="U71" s="8">
        <f>IF('Model inputs'!U55="","",'Model inputs'!U55)</f>
        <v>14692.5</v>
      </c>
      <c r="V71" s="8">
        <f>IF('Model inputs'!V55="","",'Model inputs'!V55)</f>
        <v>14692.5</v>
      </c>
      <c r="W71" s="8">
        <f>IF('Model inputs'!W55="","",'Model inputs'!W55)</f>
        <v>14692.5</v>
      </c>
      <c r="X71" s="8">
        <f>IF('Model inputs'!X55="","",'Model inputs'!X55)</f>
        <v>14692.5</v>
      </c>
      <c r="Y71" s="8">
        <f>IF('Model inputs'!Y55="","",'Model inputs'!Y55)</f>
        <v>14692.5</v>
      </c>
      <c r="Z71" s="8">
        <f>IF('Model inputs'!B18="","",'Model inputs'!B18)</f>
        <v>14692.5</v>
      </c>
      <c r="AA71" s="8">
        <f>IF('Model inputs'!B18="","",'Model inputs'!B18)</f>
        <v>14692.5</v>
      </c>
    </row>
    <row r="72">
      <c r="A72" t="inlineStr" s="17">
        <is>
          <t xml:space="preserve">NS overhead · NS operating profit · NaukriShield — Upside · NaukriShield — Upside</t>
        </is>
      </c>
      <c r="D72" s="8">
        <v>0</v>
      </c>
      <c r="E72" s="8">
        <v>0</v>
      </c>
      <c r="F72" s="8">
        <v>0</v>
      </c>
      <c r="G72" s="8">
        <v>0</v>
      </c>
      <c r="H72" s="8">
        <v>0</v>
      </c>
      <c r="I72" s="8">
        <v>0</v>
      </c>
      <c r="J72" s="8">
        <v>0</v>
      </c>
      <c r="K72" s="8">
        <v>0</v>
      </c>
      <c r="L72" s="8">
        <v>0</v>
      </c>
      <c r="M72" s="8">
        <f>IF('Model inputs'!C90="","",'Model inputs'!C90)</f>
        <v>14692.5</v>
      </c>
      <c r="N72" s="8">
        <f>IF('Model inputs'!C90="","",'Model inputs'!C90)</f>
        <v>14692.5</v>
      </c>
      <c r="O72" s="8">
        <f>IF('Model inputs'!C90="","",'Model inputs'!C90)</f>
        <v>14692.5</v>
      </c>
      <c r="P72" s="8">
        <f>IF('Model inputs'!C90="","",'Model inputs'!C90)</f>
        <v>14692.5</v>
      </c>
      <c r="Q72" s="8">
        <f>IF('Model inputs'!C90="","",'Model inputs'!C90)</f>
        <v>14692.5</v>
      </c>
      <c r="R72" s="8">
        <f>IF('Model inputs'!C90="","",'Model inputs'!C90)</f>
        <v>14692.5</v>
      </c>
      <c r="S72" s="8">
        <f>IF('Model inputs'!C90="","",'Model inputs'!C90)</f>
        <v>14692.5</v>
      </c>
      <c r="T72" s="8">
        <f>IF('Model inputs'!C90="","",'Model inputs'!C90)</f>
        <v>14692.5</v>
      </c>
      <c r="U72" s="8">
        <f>IF('Model inputs'!C90="","",'Model inputs'!C90)</f>
        <v>14692.5</v>
      </c>
      <c r="V72" s="8">
        <f>IF('Model inputs'!C90="","",'Model inputs'!C90)</f>
        <v>14692.5</v>
      </c>
      <c r="W72" s="8">
        <f>IF('Model inputs'!C90="","",'Model inputs'!C90)</f>
        <v>14692.5</v>
      </c>
      <c r="X72" s="8">
        <f>IF('Model inputs'!C90="","",'Model inputs'!C90)</f>
        <v>14692.5</v>
      </c>
      <c r="Y72" s="8">
        <f>IF('Model inputs'!C90="","",'Model inputs'!C90)</f>
        <v>14692.5</v>
      </c>
      <c r="Z72" s="8">
        <f>IF('Model inputs'!C90="","",'Model inputs'!C90)</f>
        <v>14692.5</v>
      </c>
      <c r="AA72" s="8">
        <f>IF('Model inputs'!C90="","",'Model inputs'!C90)</f>
        <v>14692.5</v>
      </c>
    </row>
    <row r="73">
      <c r="A73" t="inlineStr" s="17">
        <is>
          <t xml:space="preserve">NS overhead · NS operating profit · NaukriShield — Downside · NaukriShield — Downside</t>
        </is>
      </c>
      <c r="D73" s="8">
        <v>0</v>
      </c>
      <c r="E73" s="8">
        <v>0</v>
      </c>
      <c r="F73" s="8">
        <v>0</v>
      </c>
      <c r="G73" s="8">
        <v>0</v>
      </c>
      <c r="H73" s="8">
        <v>0</v>
      </c>
      <c r="I73" s="8">
        <v>0</v>
      </c>
      <c r="J73" s="8">
        <v>0</v>
      </c>
      <c r="K73" s="8">
        <v>0</v>
      </c>
      <c r="L73" s="8">
        <v>0</v>
      </c>
      <c r="M73" s="8">
        <f>IF('Model inputs'!C91="","",'Model inputs'!C91)</f>
        <v>14692.5</v>
      </c>
      <c r="N73" s="8">
        <f>IF('Model inputs'!C91="","",'Model inputs'!C91)</f>
        <v>14692.5</v>
      </c>
      <c r="O73" s="8">
        <f>IF('Model inputs'!C91="","",'Model inputs'!C91)</f>
        <v>14692.5</v>
      </c>
      <c r="P73" s="8">
        <f>IF('Model inputs'!C91="","",'Model inputs'!C91)</f>
        <v>14692.5</v>
      </c>
      <c r="Q73" s="8">
        <f>IF('Model inputs'!C91="","",'Model inputs'!C91)</f>
        <v>14692.5</v>
      </c>
      <c r="R73" s="8">
        <f>IF('Model inputs'!C91="","",'Model inputs'!C91)</f>
        <v>14692.5</v>
      </c>
      <c r="S73" s="8">
        <f>IF('Model inputs'!C91="","",'Model inputs'!C91)</f>
        <v>14692.5</v>
      </c>
      <c r="T73" s="8">
        <f>IF('Model inputs'!C91="","",'Model inputs'!C91)</f>
        <v>14692.5</v>
      </c>
      <c r="U73" s="8">
        <f>IF('Model inputs'!C91="","",'Model inputs'!C91)</f>
        <v>14692.5</v>
      </c>
      <c r="V73" s="8">
        <f>IF('Model inputs'!C91="","",'Model inputs'!C91)</f>
        <v>14692.5</v>
      </c>
      <c r="W73" s="8">
        <f>IF('Model inputs'!C91="","",'Model inputs'!C91)</f>
        <v>14692.5</v>
      </c>
      <c r="X73" s="8">
        <f>IF('Model inputs'!C91="","",'Model inputs'!C91)</f>
        <v>14692.5</v>
      </c>
      <c r="Y73" s="8">
        <f>IF('Model inputs'!C91="","",'Model inputs'!C91)</f>
        <v>14692.5</v>
      </c>
      <c r="Z73" s="8">
        <f>IF('Model inputs'!C91="","",'Model inputs'!C91)</f>
        <v>14692.5</v>
      </c>
      <c r="AA73" s="8">
        <f>IF('Model inputs'!C91="","",'Model inputs'!C91)</f>
        <v>14692.5</v>
      </c>
    </row>
    <row r="74">
      <c r="A74" t="inlineStr" s="17">
        <is>
          <t xml:space="preserve">NS revenue</t>
        </is>
      </c>
      <c r="D74" s="11">
        <f>IF('Model inputs'!D37="","",'Model inputs'!D37)</f>
        <v>0</v>
      </c>
      <c r="E74" s="11">
        <f>IF('Model inputs'!E37="","",'Model inputs'!E37)</f>
        <v>0</v>
      </c>
      <c r="F74" s="11">
        <f>IF('Model inputs'!F37="","",'Model inputs'!F37)</f>
        <v>0</v>
      </c>
      <c r="G74" s="11">
        <f>IF('Model inputs'!G37="","",'Model inputs'!G37)</f>
        <v>0</v>
      </c>
      <c r="H74" s="11">
        <f>IF('Model inputs'!H37="","",'Model inputs'!H37)</f>
        <v>0</v>
      </c>
      <c r="I74" s="11">
        <f>IF('Model inputs'!I37="","",'Model inputs'!I37)</f>
        <v>0</v>
      </c>
      <c r="J74" s="11">
        <f>IF('Model inputs'!J37="","",'Model inputs'!J37)</f>
        <v>0</v>
      </c>
      <c r="K74" s="11">
        <f>IF('Model inputs'!K37="","",'Model inputs'!K37)</f>
        <v>0</v>
      </c>
      <c r="L74" s="11">
        <f>IF('Model inputs'!L37="","",'Model inputs'!L37)</f>
        <v>0</v>
      </c>
      <c r="M74" s="11">
        <f>IF('Model inputs'!M37="","",'Model inputs'!M37)</f>
        <v>394700</v>
      </c>
      <c r="N74" s="11">
        <f>IF('Model inputs'!N37="","",'Model inputs'!N37)</f>
        <v>394700</v>
      </c>
      <c r="O74" s="11">
        <f>IF('Model inputs'!O37="","",'Model inputs'!O37)</f>
        <v>394700</v>
      </c>
      <c r="P74" s="11">
        <f>IF('Model inputs'!P37="","",'Model inputs'!P37)</f>
        <v>394700</v>
      </c>
      <c r="Q74" s="11">
        <f>IF('Model inputs'!Q37="","",'Model inputs'!Q37)</f>
        <v>394700</v>
      </c>
      <c r="R74" s="11">
        <f>IF('Model inputs'!R37="","",'Model inputs'!R37)</f>
        <v>394700</v>
      </c>
      <c r="S74" s="11">
        <f>IF('Model inputs'!S37="","",'Model inputs'!S37)</f>
        <v>394700</v>
      </c>
      <c r="T74" s="11">
        <f>IF('Model inputs'!T37="","",'Model inputs'!T37)</f>
        <v>394700</v>
      </c>
      <c r="U74" s="11">
        <f>IF('Model inputs'!U37="","",'Model inputs'!U37)</f>
        <v>394700</v>
      </c>
      <c r="V74" s="11">
        <f>IF('Model inputs'!V37="","",'Model inputs'!V37)</f>
        <v>394700</v>
      </c>
      <c r="W74" s="11">
        <f>IF('Model inputs'!W37="","",'Model inputs'!W37)</f>
        <v>394700</v>
      </c>
      <c r="X74" s="11">
        <f>IF('Model inputs'!X37="","",'Model inputs'!X37)</f>
        <v>394700</v>
      </c>
      <c r="Y74" s="11">
        <f>IF('Model inputs'!Y37="","",'Model inputs'!Y37)</f>
        <v>394700</v>
      </c>
      <c r="Z74" s="11">
        <f>IF('Model inputs'!Z37="","",'Model inputs'!Z37)</f>
        <v>394700</v>
      </c>
      <c r="AA74" s="11">
        <f>IF('Model inputs'!AA37="","",'Model inputs'!AA37)</f>
        <v>394700</v>
      </c>
    </row>
    <row r="75" outlineLevel="1">
      <c r="A75" t="inlineStr" s="18">
        <is>
          <t xml:space="preserve">NS revenue &gt; API</t>
        </is>
      </c>
      <c r="D75" s="8">
        <f>'Model inputs'!D34</f>
        <v>0</v>
      </c>
      <c r="E75" s="8">
        <f>'Model inputs'!E34</f>
        <v>0</v>
      </c>
      <c r="F75" s="8">
        <f>'Model inputs'!F34</f>
        <v>0</v>
      </c>
      <c r="G75" s="8">
        <f>'Model inputs'!G34</f>
        <v>0</v>
      </c>
      <c r="H75" s="8">
        <f>'Model inputs'!H34</f>
        <v>0</v>
      </c>
      <c r="I75" s="8">
        <f>'Model inputs'!I34</f>
        <v>0</v>
      </c>
      <c r="J75" s="8">
        <f>'Model inputs'!J34</f>
        <v>0</v>
      </c>
      <c r="K75" s="8">
        <f>'Model inputs'!K34</f>
        <v>0</v>
      </c>
      <c r="L75" s="8">
        <f>'Model inputs'!L34</f>
        <v>0</v>
      </c>
      <c r="M75" s="8">
        <f>IF(EXACT("API","Cyber-cafes"),'Model inputs'!C100*'Model inputs'!C86,IF(EXACT("API","API"),'Model inputs'!C102/12*'Model inputs'!C84,0))</f>
        <v>245000</v>
      </c>
      <c r="N75" s="8">
        <f>IF(EXACT("API","Cyber-cafes"),'Model inputs'!C100*'Model inputs'!C86,IF(EXACT("API","API"),'Model inputs'!C102/12*'Model inputs'!C84,0))</f>
        <v>245000</v>
      </c>
      <c r="O75" s="8">
        <f>IF(EXACT("API","Cyber-cafes"),'Model inputs'!C100*'Model inputs'!C86,IF(EXACT("API","API"),'Model inputs'!C102/12*'Model inputs'!C84,0))</f>
        <v>245000</v>
      </c>
      <c r="P75" s="8">
        <f>IF(EXACT("API","Cyber-cafes"),'Model inputs'!C100*'Model inputs'!C86,IF(EXACT("API","API"),'Model inputs'!C102/12*'Model inputs'!C84,0))</f>
        <v>245000</v>
      </c>
      <c r="Q75" s="8">
        <f>IF(EXACT("API","Cyber-cafes"),'Model inputs'!C100*'Model inputs'!C86,IF(EXACT("API","API"),'Model inputs'!C102/12*'Model inputs'!C84,0))</f>
        <v>245000</v>
      </c>
      <c r="R75" s="8">
        <f>IF(EXACT("API","Cyber-cafes"),'Model inputs'!C100*'Model inputs'!C86,IF(EXACT("API","API"),'Model inputs'!C102/12*'Model inputs'!C84,0))</f>
        <v>245000</v>
      </c>
      <c r="S75" s="8">
        <f>IF(EXACT("API","Cyber-cafes"),'Model inputs'!C100*'Model inputs'!C86,IF(EXACT("API","API"),'Model inputs'!C102/12*'Model inputs'!C84,0))</f>
        <v>245000</v>
      </c>
      <c r="T75" s="8">
        <f>IF(EXACT("API","Cyber-cafes"),'Model inputs'!C100*'Model inputs'!C86,IF(EXACT("API","API"),'Model inputs'!C102/12*'Model inputs'!C84,0))</f>
        <v>245000</v>
      </c>
      <c r="U75" s="8">
        <f>IF(EXACT("API","Cyber-cafes"),'Model inputs'!C100*'Model inputs'!C86,IF(EXACT("API","API"),'Model inputs'!C102/12*'Model inputs'!C84,0))</f>
        <v>245000</v>
      </c>
      <c r="V75" s="8">
        <f>IF(EXACT("API","Cyber-cafes"),'Model inputs'!C100*'Model inputs'!C86,IF(EXACT("API","API"),'Model inputs'!C102/12*'Model inputs'!C84,0))</f>
        <v>245000</v>
      </c>
      <c r="W75" s="8">
        <f>IF(EXACT("API","Cyber-cafes"),'Model inputs'!C100*'Model inputs'!C86,IF(EXACT("API","API"),'Model inputs'!C102/12*'Model inputs'!C84,0))</f>
        <v>245000</v>
      </c>
      <c r="X75" s="8">
        <f>IF(EXACT("API","Cyber-cafes"),'Model inputs'!C100*'Model inputs'!C86,IF(EXACT("API","API"),'Model inputs'!C102/12*'Model inputs'!C84,0))</f>
        <v>245000</v>
      </c>
      <c r="Y75" s="8">
        <f>IF(EXACT("API","Cyber-cafes"),'Model inputs'!C100*'Model inputs'!C86,IF(EXACT("API","API"),'Model inputs'!C102/12*'Model inputs'!C84,0))</f>
        <v>245000</v>
      </c>
      <c r="Z75" s="8">
        <f>IF(EXACT("API","Cyber-cafes"),'Model inputs'!C100*'Model inputs'!C86,IF(EXACT("API","API"),'Model inputs'!C102/12*'Model inputs'!C84,0))</f>
        <v>245000</v>
      </c>
      <c r="AA75" s="8">
        <f>IF(EXACT("API","Cyber-cafes"),'Model inputs'!C100*'Model inputs'!C86,IF(EXACT("API","API"),'Model inputs'!C102/12*'Model inputs'!C84,0))</f>
        <v>245000</v>
      </c>
    </row>
    <row r="76" outlineLevel="1">
      <c r="A76" t="inlineStr" s="18">
        <is>
          <t xml:space="preserve">NS revenue &gt; Cyber-cafes</t>
        </is>
      </c>
      <c r="D76" s="8">
        <f>'Model inputs'!D35</f>
        <v>0</v>
      </c>
      <c r="E76" s="8">
        <f>'Model inputs'!E35</f>
        <v>0</v>
      </c>
      <c r="F76" s="8">
        <f>'Model inputs'!F35</f>
        <v>0</v>
      </c>
      <c r="G76" s="8">
        <f>'Model inputs'!G35</f>
        <v>0</v>
      </c>
      <c r="H76" s="8">
        <f>'Model inputs'!H35</f>
        <v>0</v>
      </c>
      <c r="I76" s="8">
        <f>'Model inputs'!I35</f>
        <v>0</v>
      </c>
      <c r="J76" s="8">
        <f>'Model inputs'!J35</f>
        <v>0</v>
      </c>
      <c r="K76" s="8">
        <f>'Model inputs'!K35</f>
        <v>0</v>
      </c>
      <c r="L76" s="8">
        <f>'Model inputs'!L35</f>
        <v>0</v>
      </c>
      <c r="M76" s="8">
        <f>IF(EXACT("Cyber-cafes","Cyber-cafes"),'Model inputs'!C100*'Model inputs'!C86,IF(EXACT("Cyber-cafes","API"),'Model inputs'!C102/12*'Model inputs'!C84,0))</f>
        <v>149700</v>
      </c>
      <c r="N76" s="8">
        <f>IF(EXACT("Cyber-cafes","Cyber-cafes"),'Model inputs'!C100*'Model inputs'!C86,IF(EXACT("Cyber-cafes","API"),'Model inputs'!C102/12*'Model inputs'!C84,0))</f>
        <v>149700</v>
      </c>
      <c r="O76" s="8">
        <f>IF(EXACT("Cyber-cafes","Cyber-cafes"),'Model inputs'!C100*'Model inputs'!C86,IF(EXACT("Cyber-cafes","API"),'Model inputs'!C102/12*'Model inputs'!C84,0))</f>
        <v>149700</v>
      </c>
      <c r="P76" s="8">
        <f>IF(EXACT("Cyber-cafes","Cyber-cafes"),'Model inputs'!C100*'Model inputs'!C86,IF(EXACT("Cyber-cafes","API"),'Model inputs'!C102/12*'Model inputs'!C84,0))</f>
        <v>149700</v>
      </c>
      <c r="Q76" s="8">
        <f>IF(EXACT("Cyber-cafes","Cyber-cafes"),'Model inputs'!C100*'Model inputs'!C86,IF(EXACT("Cyber-cafes","API"),'Model inputs'!C102/12*'Model inputs'!C84,0))</f>
        <v>149700</v>
      </c>
      <c r="R76" s="8">
        <f>IF(EXACT("Cyber-cafes","Cyber-cafes"),'Model inputs'!C100*'Model inputs'!C86,IF(EXACT("Cyber-cafes","API"),'Model inputs'!C102/12*'Model inputs'!C84,0))</f>
        <v>149700</v>
      </c>
      <c r="S76" s="8">
        <f>IF(EXACT("Cyber-cafes","Cyber-cafes"),'Model inputs'!C100*'Model inputs'!C86,IF(EXACT("Cyber-cafes","API"),'Model inputs'!C102/12*'Model inputs'!C84,0))</f>
        <v>149700</v>
      </c>
      <c r="T76" s="8">
        <f>IF(EXACT("Cyber-cafes","Cyber-cafes"),'Model inputs'!C100*'Model inputs'!C86,IF(EXACT("Cyber-cafes","API"),'Model inputs'!C102/12*'Model inputs'!C84,0))</f>
        <v>149700</v>
      </c>
      <c r="U76" s="8">
        <f>IF(EXACT("Cyber-cafes","Cyber-cafes"),'Model inputs'!C100*'Model inputs'!C86,IF(EXACT("Cyber-cafes","API"),'Model inputs'!C102/12*'Model inputs'!C84,0))</f>
        <v>149700</v>
      </c>
      <c r="V76" s="8">
        <f>IF(EXACT("Cyber-cafes","Cyber-cafes"),'Model inputs'!C100*'Model inputs'!C86,IF(EXACT("Cyber-cafes","API"),'Model inputs'!C102/12*'Model inputs'!C84,0))</f>
        <v>149700</v>
      </c>
      <c r="W76" s="8">
        <f>IF(EXACT("Cyber-cafes","Cyber-cafes"),'Model inputs'!C100*'Model inputs'!C86,IF(EXACT("Cyber-cafes","API"),'Model inputs'!C102/12*'Model inputs'!C84,0))</f>
        <v>149700</v>
      </c>
      <c r="X76" s="8">
        <f>IF(EXACT("Cyber-cafes","Cyber-cafes"),'Model inputs'!C100*'Model inputs'!C86,IF(EXACT("Cyber-cafes","API"),'Model inputs'!C102/12*'Model inputs'!C84,0))</f>
        <v>149700</v>
      </c>
      <c r="Y76" s="8">
        <f>IF(EXACT("Cyber-cafes","Cyber-cafes"),'Model inputs'!C100*'Model inputs'!C86,IF(EXACT("Cyber-cafes","API"),'Model inputs'!C102/12*'Model inputs'!C84,0))</f>
        <v>149700</v>
      </c>
      <c r="Z76" s="8">
        <f>IF(EXACT("Cyber-cafes","Cyber-cafes"),'Model inputs'!C100*'Model inputs'!C86,IF(EXACT("Cyber-cafes","API"),'Model inputs'!C102/12*'Model inputs'!C84,0))</f>
        <v>149700</v>
      </c>
      <c r="AA76" s="8">
        <f>IF(EXACT("Cyber-cafes","Cyber-cafes"),'Model inputs'!C100*'Model inputs'!C86,IF(EXACT("Cyber-cafes","API"),'Model inputs'!C102/12*'Model inputs'!C84,0))</f>
        <v>149700</v>
      </c>
    </row>
    <row r="77" outlineLevel="1">
      <c r="A77" t="inlineStr" s="18">
        <is>
          <t xml:space="preserve">NS revenue &gt; Students</t>
        </is>
      </c>
      <c r="D77" s="8">
        <f>'Model inputs'!D36</f>
        <v>0</v>
      </c>
      <c r="E77" s="8">
        <f>'Model inputs'!E36</f>
        <v>0</v>
      </c>
      <c r="F77" s="8">
        <f>'Model inputs'!F36</f>
        <v>0</v>
      </c>
      <c r="G77" s="8">
        <f>'Model inputs'!G36</f>
        <v>0</v>
      </c>
      <c r="H77" s="8">
        <f>'Model inputs'!H36</f>
        <v>0</v>
      </c>
      <c r="I77" s="8">
        <f>'Model inputs'!I36</f>
        <v>0</v>
      </c>
      <c r="J77" s="8">
        <f>'Model inputs'!J36</f>
        <v>0</v>
      </c>
      <c r="K77" s="8">
        <f>'Model inputs'!K36</f>
        <v>0</v>
      </c>
      <c r="L77" s="8">
        <f>'Model inputs'!L36</f>
        <v>0</v>
      </c>
      <c r="M77" s="8">
        <f>IF(EXACT("Students","Cyber-cafes"),'Model inputs'!C100*'Model inputs'!C86,IF(EXACT("Students","API"),'Model inputs'!C102/12*'Model inputs'!C84,0))</f>
        <v>0</v>
      </c>
      <c r="N77" s="8">
        <f>IF(EXACT("Students","Cyber-cafes"),'Model inputs'!C100*'Model inputs'!C86,IF(EXACT("Students","API"),'Model inputs'!C102/12*'Model inputs'!C84,0))</f>
        <v>0</v>
      </c>
      <c r="O77" s="8">
        <f>IF(EXACT("Students","Cyber-cafes"),'Model inputs'!C100*'Model inputs'!C86,IF(EXACT("Students","API"),'Model inputs'!C102/12*'Model inputs'!C84,0))</f>
        <v>0</v>
      </c>
      <c r="P77" s="8">
        <f>IF(EXACT("Students","Cyber-cafes"),'Model inputs'!C100*'Model inputs'!C86,IF(EXACT("Students","API"),'Model inputs'!C102/12*'Model inputs'!C84,0))</f>
        <v>0</v>
      </c>
      <c r="Q77" s="8">
        <f>IF(EXACT("Students","Cyber-cafes"),'Model inputs'!C100*'Model inputs'!C86,IF(EXACT("Students","API"),'Model inputs'!C102/12*'Model inputs'!C84,0))</f>
        <v>0</v>
      </c>
      <c r="R77" s="8">
        <f>IF(EXACT("Students","Cyber-cafes"),'Model inputs'!C100*'Model inputs'!C86,IF(EXACT("Students","API"),'Model inputs'!C102/12*'Model inputs'!C84,0))</f>
        <v>0</v>
      </c>
      <c r="S77" s="8">
        <f>IF(EXACT("Students","Cyber-cafes"),'Model inputs'!C100*'Model inputs'!C86,IF(EXACT("Students","API"),'Model inputs'!C102/12*'Model inputs'!C84,0))</f>
        <v>0</v>
      </c>
      <c r="T77" s="8">
        <f>IF(EXACT("Students","Cyber-cafes"),'Model inputs'!C100*'Model inputs'!C86,IF(EXACT("Students","API"),'Model inputs'!C102/12*'Model inputs'!C84,0))</f>
        <v>0</v>
      </c>
      <c r="U77" s="8">
        <f>IF(EXACT("Students","Cyber-cafes"),'Model inputs'!C100*'Model inputs'!C86,IF(EXACT("Students","API"),'Model inputs'!C102/12*'Model inputs'!C84,0))</f>
        <v>0</v>
      </c>
      <c r="V77" s="8">
        <f>IF(EXACT("Students","Cyber-cafes"),'Model inputs'!C100*'Model inputs'!C86,IF(EXACT("Students","API"),'Model inputs'!C102/12*'Model inputs'!C84,0))</f>
        <v>0</v>
      </c>
      <c r="W77" s="8">
        <f>IF(EXACT("Students","Cyber-cafes"),'Model inputs'!C100*'Model inputs'!C86,IF(EXACT("Students","API"),'Model inputs'!C102/12*'Model inputs'!C84,0))</f>
        <v>0</v>
      </c>
      <c r="X77" s="8">
        <f>IF(EXACT("Students","Cyber-cafes"),'Model inputs'!C100*'Model inputs'!C86,IF(EXACT("Students","API"),'Model inputs'!C102/12*'Model inputs'!C84,0))</f>
        <v>0</v>
      </c>
      <c r="Y77" s="8">
        <f>IF(EXACT("Students","Cyber-cafes"),'Model inputs'!C100*'Model inputs'!C86,IF(EXACT("Students","API"),'Model inputs'!C102/12*'Model inputs'!C84,0))</f>
        <v>0</v>
      </c>
      <c r="Z77" s="8">
        <f>IF(EXACT("Students","Cyber-cafes"),'Model inputs'!C100*'Model inputs'!C86,IF(EXACT("Students","API"),'Model inputs'!C102/12*'Model inputs'!C84,0))</f>
        <v>0</v>
      </c>
      <c r="AA77" s="8">
        <f>IF(EXACT("Students","Cyber-cafes"),'Model inputs'!C100*'Model inputs'!C86,IF(EXACT("Students","API"),'Model inputs'!C102/12*'Model inputs'!C84,0))</f>
        <v>0</v>
      </c>
    </row>
    <row r="78">
      <c r="A78" t="inlineStr" s="17">
        <is>
          <t xml:space="preserve">NS revenue</t>
        </is>
      </c>
      <c r="D78" s="11">
        <f>IF('Model inputs'!D38="","",'Model inputs'!D38)</f>
        <v>0</v>
      </c>
      <c r="E78" s="11">
        <f>IF('Model inputs'!E38="","",'Model inputs'!E38)</f>
        <v>0</v>
      </c>
      <c r="F78" s="11">
        <f>IF('Model inputs'!F38="","",'Model inputs'!F38)</f>
        <v>0</v>
      </c>
      <c r="G78" s="11">
        <f>IF('Model inputs'!G38="","",'Model inputs'!G38)</f>
        <v>0</v>
      </c>
      <c r="H78" s="11">
        <f>IF('Model inputs'!H38="","",'Model inputs'!H38)</f>
        <v>0</v>
      </c>
      <c r="I78" s="11">
        <f>IF('Model inputs'!I38="","",'Model inputs'!I38)</f>
        <v>0</v>
      </c>
      <c r="J78" s="11">
        <f>IF('Model inputs'!J38="","",'Model inputs'!J38)</f>
        <v>0</v>
      </c>
      <c r="K78" s="11">
        <f>IF('Model inputs'!K38="","",'Model inputs'!K38)</f>
        <v>0</v>
      </c>
      <c r="L78" s="11">
        <f>IF('Model inputs'!L38="","",'Model inputs'!L38)</f>
        <v>0</v>
      </c>
      <c r="M78" s="11">
        <f>IF('Model inputs'!M38="","",'Model inputs'!M38)</f>
        <v>9980</v>
      </c>
      <c r="N78" s="11">
        <f>IF('Model inputs'!N38="","",'Model inputs'!N38)</f>
        <v>9980</v>
      </c>
      <c r="O78" s="11">
        <f>IF('Model inputs'!O38="","",'Model inputs'!O38)</f>
        <v>9980</v>
      </c>
      <c r="P78" s="11">
        <f>IF('Model inputs'!P38="","",'Model inputs'!P38)</f>
        <v>9980</v>
      </c>
      <c r="Q78" s="11">
        <f>IF('Model inputs'!Q38="","",'Model inputs'!Q38)</f>
        <v>9980</v>
      </c>
      <c r="R78" s="11">
        <f>IF('Model inputs'!R38="","",'Model inputs'!R38)</f>
        <v>9980</v>
      </c>
      <c r="S78" s="11">
        <f>IF('Model inputs'!S38="","",'Model inputs'!S38)</f>
        <v>9980</v>
      </c>
      <c r="T78" s="11">
        <f>IF('Model inputs'!T38="","",'Model inputs'!T38)</f>
        <v>9980</v>
      </c>
      <c r="U78" s="11">
        <f>IF('Model inputs'!U38="","",'Model inputs'!U38)</f>
        <v>9980</v>
      </c>
      <c r="V78" s="11">
        <f>IF('Model inputs'!V38="","",'Model inputs'!V38)</f>
        <v>9980</v>
      </c>
      <c r="W78" s="11">
        <f>IF('Model inputs'!W38="","",'Model inputs'!W38)</f>
        <v>9980</v>
      </c>
      <c r="X78" s="11">
        <f>IF('Model inputs'!X38="","",'Model inputs'!X38)</f>
        <v>9980</v>
      </c>
      <c r="Y78" s="11">
        <f>IF('Model inputs'!Y38="","",'Model inputs'!Y38)</f>
        <v>9980</v>
      </c>
      <c r="Z78" s="11">
        <f>IF('Model inputs'!Z38="","",'Model inputs'!Z38)</f>
        <v>9980</v>
      </c>
      <c r="AA78" s="11">
        <f>IF('Model inputs'!AA38="","",'Model inputs'!AA38)</f>
        <v>9980</v>
      </c>
    </row>
    <row r="79" outlineLevel="1">
      <c r="A79" t="inlineStr" s="18">
        <is>
          <t xml:space="preserve">NS revenue &gt; API</t>
        </is>
      </c>
      <c r="D79" s="8">
        <f>'Model inputs'!D34</f>
        <v>0</v>
      </c>
      <c r="E79" s="8">
        <f>'Model inputs'!E34</f>
        <v>0</v>
      </c>
      <c r="F79" s="8">
        <f>'Model inputs'!F34</f>
        <v>0</v>
      </c>
      <c r="G79" s="8">
        <f>'Model inputs'!G34</f>
        <v>0</v>
      </c>
      <c r="H79" s="8">
        <f>'Model inputs'!H34</f>
        <v>0</v>
      </c>
      <c r="I79" s="8">
        <f>'Model inputs'!I34</f>
        <v>0</v>
      </c>
      <c r="J79" s="8">
        <f>'Model inputs'!J34</f>
        <v>0</v>
      </c>
      <c r="K79" s="8">
        <f>'Model inputs'!K34</f>
        <v>0</v>
      </c>
      <c r="L79" s="8">
        <f>'Model inputs'!L34</f>
        <v>0</v>
      </c>
      <c r="M79" s="8">
        <f>IF(EXACT("API","Cyber-cafes"),'Model inputs'!C101*'Model inputs'!C87,IF(EXACT("API","API"),'Model inputs'!C103/12*'Model inputs'!C85,0))</f>
        <v>0</v>
      </c>
      <c r="N79" s="8">
        <f>IF(EXACT("API","Cyber-cafes"),'Model inputs'!C101*'Model inputs'!C87,IF(EXACT("API","API"),'Model inputs'!C103/12*'Model inputs'!C85,0))</f>
        <v>0</v>
      </c>
      <c r="O79" s="8">
        <f>IF(EXACT("API","Cyber-cafes"),'Model inputs'!C101*'Model inputs'!C87,IF(EXACT("API","API"),'Model inputs'!C103/12*'Model inputs'!C85,0))</f>
        <v>0</v>
      </c>
      <c r="P79" s="8">
        <f>IF(EXACT("API","Cyber-cafes"),'Model inputs'!C101*'Model inputs'!C87,IF(EXACT("API","API"),'Model inputs'!C103/12*'Model inputs'!C85,0))</f>
        <v>0</v>
      </c>
      <c r="Q79" s="8">
        <f>IF(EXACT("API","Cyber-cafes"),'Model inputs'!C101*'Model inputs'!C87,IF(EXACT("API","API"),'Model inputs'!C103/12*'Model inputs'!C85,0))</f>
        <v>0</v>
      </c>
      <c r="R79" s="8">
        <f>IF(EXACT("API","Cyber-cafes"),'Model inputs'!C101*'Model inputs'!C87,IF(EXACT("API","API"),'Model inputs'!C103/12*'Model inputs'!C85,0))</f>
        <v>0</v>
      </c>
      <c r="S79" s="8">
        <f>IF(EXACT("API","Cyber-cafes"),'Model inputs'!C101*'Model inputs'!C87,IF(EXACT("API","API"),'Model inputs'!C103/12*'Model inputs'!C85,0))</f>
        <v>0</v>
      </c>
      <c r="T79" s="8">
        <f>IF(EXACT("API","Cyber-cafes"),'Model inputs'!C101*'Model inputs'!C87,IF(EXACT("API","API"),'Model inputs'!C103/12*'Model inputs'!C85,0))</f>
        <v>0</v>
      </c>
      <c r="U79" s="8">
        <f>IF(EXACT("API","Cyber-cafes"),'Model inputs'!C101*'Model inputs'!C87,IF(EXACT("API","API"),'Model inputs'!C103/12*'Model inputs'!C85,0))</f>
        <v>0</v>
      </c>
      <c r="V79" s="8">
        <f>IF(EXACT("API","Cyber-cafes"),'Model inputs'!C101*'Model inputs'!C87,IF(EXACT("API","API"),'Model inputs'!C103/12*'Model inputs'!C85,0))</f>
        <v>0</v>
      </c>
      <c r="W79" s="8">
        <f>IF(EXACT("API","Cyber-cafes"),'Model inputs'!C101*'Model inputs'!C87,IF(EXACT("API","API"),'Model inputs'!C103/12*'Model inputs'!C85,0))</f>
        <v>0</v>
      </c>
      <c r="X79" s="8">
        <f>IF(EXACT("API","Cyber-cafes"),'Model inputs'!C101*'Model inputs'!C87,IF(EXACT("API","API"),'Model inputs'!C103/12*'Model inputs'!C85,0))</f>
        <v>0</v>
      </c>
      <c r="Y79" s="8">
        <f>IF(EXACT("API","Cyber-cafes"),'Model inputs'!C101*'Model inputs'!C87,IF(EXACT("API","API"),'Model inputs'!C103/12*'Model inputs'!C85,0))</f>
        <v>0</v>
      </c>
      <c r="Z79" s="8">
        <f>IF(EXACT("API","Cyber-cafes"),'Model inputs'!C101*'Model inputs'!C87,IF(EXACT("API","API"),'Model inputs'!C103/12*'Model inputs'!C85,0))</f>
        <v>0</v>
      </c>
      <c r="AA79" s="8">
        <f>IF(EXACT("API","Cyber-cafes"),'Model inputs'!C101*'Model inputs'!C87,IF(EXACT("API","API"),'Model inputs'!C103/12*'Model inputs'!C85,0))</f>
        <v>0</v>
      </c>
    </row>
    <row r="80" outlineLevel="1">
      <c r="A80" t="inlineStr" s="18">
        <is>
          <t xml:space="preserve">NS revenue &gt; Cyber-cafes</t>
        </is>
      </c>
      <c r="D80" s="8">
        <f>'Model inputs'!D35</f>
        <v>0</v>
      </c>
      <c r="E80" s="8">
        <f>'Model inputs'!E35</f>
        <v>0</v>
      </c>
      <c r="F80" s="8">
        <f>'Model inputs'!F35</f>
        <v>0</v>
      </c>
      <c r="G80" s="8">
        <f>'Model inputs'!G35</f>
        <v>0</v>
      </c>
      <c r="H80" s="8">
        <f>'Model inputs'!H35</f>
        <v>0</v>
      </c>
      <c r="I80" s="8">
        <f>'Model inputs'!I35</f>
        <v>0</v>
      </c>
      <c r="J80" s="8">
        <f>'Model inputs'!J35</f>
        <v>0</v>
      </c>
      <c r="K80" s="8">
        <f>'Model inputs'!K35</f>
        <v>0</v>
      </c>
      <c r="L80" s="8">
        <f>'Model inputs'!L35</f>
        <v>0</v>
      </c>
      <c r="M80" s="8">
        <f>IF(EXACT("Cyber-cafes","Cyber-cafes"),'Model inputs'!C101*'Model inputs'!C87,IF(EXACT("Cyber-cafes","API"),'Model inputs'!C103/12*'Model inputs'!C85,0))</f>
        <v>9980</v>
      </c>
      <c r="N80" s="8">
        <f>IF(EXACT("Cyber-cafes","Cyber-cafes"),'Model inputs'!C101*'Model inputs'!C87,IF(EXACT("Cyber-cafes","API"),'Model inputs'!C103/12*'Model inputs'!C85,0))</f>
        <v>9980</v>
      </c>
      <c r="O80" s="8">
        <f>IF(EXACT("Cyber-cafes","Cyber-cafes"),'Model inputs'!C101*'Model inputs'!C87,IF(EXACT("Cyber-cafes","API"),'Model inputs'!C103/12*'Model inputs'!C85,0))</f>
        <v>9980</v>
      </c>
      <c r="P80" s="8">
        <f>IF(EXACT("Cyber-cafes","Cyber-cafes"),'Model inputs'!C101*'Model inputs'!C87,IF(EXACT("Cyber-cafes","API"),'Model inputs'!C103/12*'Model inputs'!C85,0))</f>
        <v>9980</v>
      </c>
      <c r="Q80" s="8">
        <f>IF(EXACT("Cyber-cafes","Cyber-cafes"),'Model inputs'!C101*'Model inputs'!C87,IF(EXACT("Cyber-cafes","API"),'Model inputs'!C103/12*'Model inputs'!C85,0))</f>
        <v>9980</v>
      </c>
      <c r="R80" s="8">
        <f>IF(EXACT("Cyber-cafes","Cyber-cafes"),'Model inputs'!C101*'Model inputs'!C87,IF(EXACT("Cyber-cafes","API"),'Model inputs'!C103/12*'Model inputs'!C85,0))</f>
        <v>9980</v>
      </c>
      <c r="S80" s="8">
        <f>IF(EXACT("Cyber-cafes","Cyber-cafes"),'Model inputs'!C101*'Model inputs'!C87,IF(EXACT("Cyber-cafes","API"),'Model inputs'!C103/12*'Model inputs'!C85,0))</f>
        <v>9980</v>
      </c>
      <c r="T80" s="8">
        <f>IF(EXACT("Cyber-cafes","Cyber-cafes"),'Model inputs'!C101*'Model inputs'!C87,IF(EXACT("Cyber-cafes","API"),'Model inputs'!C103/12*'Model inputs'!C85,0))</f>
        <v>9980</v>
      </c>
      <c r="U80" s="8">
        <f>IF(EXACT("Cyber-cafes","Cyber-cafes"),'Model inputs'!C101*'Model inputs'!C87,IF(EXACT("Cyber-cafes","API"),'Model inputs'!C103/12*'Model inputs'!C85,0))</f>
        <v>9980</v>
      </c>
      <c r="V80" s="8">
        <f>IF(EXACT("Cyber-cafes","Cyber-cafes"),'Model inputs'!C101*'Model inputs'!C87,IF(EXACT("Cyber-cafes","API"),'Model inputs'!C103/12*'Model inputs'!C85,0))</f>
        <v>9980</v>
      </c>
      <c r="W80" s="8">
        <f>IF(EXACT("Cyber-cafes","Cyber-cafes"),'Model inputs'!C101*'Model inputs'!C87,IF(EXACT("Cyber-cafes","API"),'Model inputs'!C103/12*'Model inputs'!C85,0))</f>
        <v>9980</v>
      </c>
      <c r="X80" s="8">
        <f>IF(EXACT("Cyber-cafes","Cyber-cafes"),'Model inputs'!C101*'Model inputs'!C87,IF(EXACT("Cyber-cafes","API"),'Model inputs'!C103/12*'Model inputs'!C85,0))</f>
        <v>9980</v>
      </c>
      <c r="Y80" s="8">
        <f>IF(EXACT("Cyber-cafes","Cyber-cafes"),'Model inputs'!C101*'Model inputs'!C87,IF(EXACT("Cyber-cafes","API"),'Model inputs'!C103/12*'Model inputs'!C85,0))</f>
        <v>9980</v>
      </c>
      <c r="Z80" s="8">
        <f>IF(EXACT("Cyber-cafes","Cyber-cafes"),'Model inputs'!C101*'Model inputs'!C87,IF(EXACT("Cyber-cafes","API"),'Model inputs'!C103/12*'Model inputs'!C85,0))</f>
        <v>9980</v>
      </c>
      <c r="AA80" s="8">
        <f>IF(EXACT("Cyber-cafes","Cyber-cafes"),'Model inputs'!C101*'Model inputs'!C87,IF(EXACT("Cyber-cafes","API"),'Model inputs'!C103/12*'Model inputs'!C85,0))</f>
        <v>9980</v>
      </c>
    </row>
    <row r="81" outlineLevel="1">
      <c r="A81" t="inlineStr" s="18">
        <is>
          <t xml:space="preserve">NS revenue &gt; Students</t>
        </is>
      </c>
      <c r="D81" s="8">
        <f>'Model inputs'!D36</f>
        <v>0</v>
      </c>
      <c r="E81" s="8">
        <f>'Model inputs'!E36</f>
        <v>0</v>
      </c>
      <c r="F81" s="8">
        <f>'Model inputs'!F36</f>
        <v>0</v>
      </c>
      <c r="G81" s="8">
        <f>'Model inputs'!G36</f>
        <v>0</v>
      </c>
      <c r="H81" s="8">
        <f>'Model inputs'!H36</f>
        <v>0</v>
      </c>
      <c r="I81" s="8">
        <f>'Model inputs'!I36</f>
        <v>0</v>
      </c>
      <c r="J81" s="8">
        <f>'Model inputs'!J36</f>
        <v>0</v>
      </c>
      <c r="K81" s="8">
        <f>'Model inputs'!K36</f>
        <v>0</v>
      </c>
      <c r="L81" s="8">
        <f>'Model inputs'!L36</f>
        <v>0</v>
      </c>
      <c r="M81" s="8">
        <f>IF(EXACT("Students","Cyber-cafes"),'Model inputs'!C101*'Model inputs'!C87,IF(EXACT("Students","API"),'Model inputs'!C103/12*'Model inputs'!C85,0))</f>
        <v>0</v>
      </c>
      <c r="N81" s="8">
        <f>IF(EXACT("Students","Cyber-cafes"),'Model inputs'!C101*'Model inputs'!C87,IF(EXACT("Students","API"),'Model inputs'!C103/12*'Model inputs'!C85,0))</f>
        <v>0</v>
      </c>
      <c r="O81" s="8">
        <f>IF(EXACT("Students","Cyber-cafes"),'Model inputs'!C101*'Model inputs'!C87,IF(EXACT("Students","API"),'Model inputs'!C103/12*'Model inputs'!C85,0))</f>
        <v>0</v>
      </c>
      <c r="P81" s="8">
        <f>IF(EXACT("Students","Cyber-cafes"),'Model inputs'!C101*'Model inputs'!C87,IF(EXACT("Students","API"),'Model inputs'!C103/12*'Model inputs'!C85,0))</f>
        <v>0</v>
      </c>
      <c r="Q81" s="8">
        <f>IF(EXACT("Students","Cyber-cafes"),'Model inputs'!C101*'Model inputs'!C87,IF(EXACT("Students","API"),'Model inputs'!C103/12*'Model inputs'!C85,0))</f>
        <v>0</v>
      </c>
      <c r="R81" s="8">
        <f>IF(EXACT("Students","Cyber-cafes"),'Model inputs'!C101*'Model inputs'!C87,IF(EXACT("Students","API"),'Model inputs'!C103/12*'Model inputs'!C85,0))</f>
        <v>0</v>
      </c>
      <c r="S81" s="8">
        <f>IF(EXACT("Students","Cyber-cafes"),'Model inputs'!C101*'Model inputs'!C87,IF(EXACT("Students","API"),'Model inputs'!C103/12*'Model inputs'!C85,0))</f>
        <v>0</v>
      </c>
      <c r="T81" s="8">
        <f>IF(EXACT("Students","Cyber-cafes"),'Model inputs'!C101*'Model inputs'!C87,IF(EXACT("Students","API"),'Model inputs'!C103/12*'Model inputs'!C85,0))</f>
        <v>0</v>
      </c>
      <c r="U81" s="8">
        <f>IF(EXACT("Students","Cyber-cafes"),'Model inputs'!C101*'Model inputs'!C87,IF(EXACT("Students","API"),'Model inputs'!C103/12*'Model inputs'!C85,0))</f>
        <v>0</v>
      </c>
      <c r="V81" s="8">
        <f>IF(EXACT("Students","Cyber-cafes"),'Model inputs'!C101*'Model inputs'!C87,IF(EXACT("Students","API"),'Model inputs'!C103/12*'Model inputs'!C85,0))</f>
        <v>0</v>
      </c>
      <c r="W81" s="8">
        <f>IF(EXACT("Students","Cyber-cafes"),'Model inputs'!C101*'Model inputs'!C87,IF(EXACT("Students","API"),'Model inputs'!C103/12*'Model inputs'!C85,0))</f>
        <v>0</v>
      </c>
      <c r="X81" s="8">
        <f>IF(EXACT("Students","Cyber-cafes"),'Model inputs'!C101*'Model inputs'!C87,IF(EXACT("Students","API"),'Model inputs'!C103/12*'Model inputs'!C85,0))</f>
        <v>0</v>
      </c>
      <c r="Y81" s="8">
        <f>IF(EXACT("Students","Cyber-cafes"),'Model inputs'!C101*'Model inputs'!C87,IF(EXACT("Students","API"),'Model inputs'!C103/12*'Model inputs'!C85,0))</f>
        <v>0</v>
      </c>
      <c r="Z81" s="8">
        <f>IF(EXACT("Students","Cyber-cafes"),'Model inputs'!C101*'Model inputs'!C87,IF(EXACT("Students","API"),'Model inputs'!C103/12*'Model inputs'!C85,0))</f>
        <v>0</v>
      </c>
      <c r="AA81" s="8">
        <f>IF(EXACT("Students","Cyber-cafes"),'Model inputs'!C101*'Model inputs'!C87,IF(EXACT("Students","API"),'Model inputs'!C103/12*'Model inputs'!C85,0))</f>
        <v>0</v>
      </c>
    </row>
    <row r="82">
      <c r="A82" t="inlineStr" s="17">
        <is>
          <t xml:space="preserve">Cached data cost per check · Cost per check · Monthly revenue and check costs</t>
        </is>
      </c>
      <c r="C82" s="9">
        <f>'Pricing and editable planning i'!B9</f>
        <v>1.5</v>
      </c>
    </row>
    <row r="83">
      <c r="A83" t="inlineStr" s="17">
        <is>
          <t xml:space="preserve">Haiku cost per check · Cost per check · Monthly revenue and check costs</t>
        </is>
      </c>
      <c r="C83" s="9">
        <f>'Pricing and editable planning i'!B8</f>
        <v>0.75</v>
      </c>
    </row>
    <row r="84">
      <c r="A84" t="inlineStr" s="17">
        <is>
          <t xml:space="preserve">API check price · NS revenue · by NS customer channel · NaukriShield — Upside · NaukriShield — Upside</t>
        </is>
      </c>
      <c r="C84" s="8">
        <f>'Pricing and editable planning i'!B7</f>
        <v>49</v>
      </c>
    </row>
    <row r="85">
      <c r="A85" t="inlineStr" s="17">
        <is>
          <t xml:space="preserve">API check price · NS revenue · by NS customer channel · NaukriShield — Downside · NaukriShield — Downside</t>
        </is>
      </c>
      <c r="C85" s="8">
        <f>'Pricing and editable planning i'!B7</f>
        <v>49</v>
      </c>
    </row>
    <row r="86">
      <c r="A86" t="inlineStr" s="17">
        <is>
          <t xml:space="preserve">Cafe monthly price · NS revenue · by NS customer channel · NaukriShield — Upside · NaukriShield — Upside</t>
        </is>
      </c>
      <c r="C86" s="8">
        <f>'Pricing and editable planning i'!B6</f>
        <v>499</v>
      </c>
    </row>
    <row r="87">
      <c r="A87" t="inlineStr" s="17">
        <is>
          <t xml:space="preserve">Cafe monthly price · NS revenue · by NS customer channel · NaukriShield — Downside · NaukriShield — Downside</t>
        </is>
      </c>
      <c r="C87" s="8">
        <f>'Pricing and editable planning i'!B6</f>
        <v>499</v>
      </c>
    </row>
    <row r="88">
      <c r="A88" t="inlineStr" s="17">
        <is>
          <t xml:space="preserve">Cost per check · NS check costs · by NS customer channel · NaukriShield — Upside · NaukriShield — Upside</t>
        </is>
      </c>
      <c r="C88" s="9">
        <f>'Model inputs'!C112+'Model inputs'!C106</f>
        <v>2.25</v>
      </c>
    </row>
    <row r="89">
      <c r="A89" t="inlineStr" s="17">
        <is>
          <t xml:space="preserve">Cost per check · NS check costs · by NS customer channel · NaukriShield — Downside · NaukriShield — Downside</t>
        </is>
      </c>
      <c r="C89" s="9">
        <f>'Model inputs'!C113+'Model inputs'!C107</f>
        <v>2.25</v>
      </c>
    </row>
    <row r="90">
      <c r="A90" t="inlineStr" s="17">
        <is>
          <t xml:space="preserve">Monthly non-check overhead · NS overhead · NS operating profit · NaukriShield — Upside · NaukriShield — Upside · NaukriShield — Upside</t>
        </is>
      </c>
      <c r="C90" s="9">
        <f>'Pricing and editable planning i'!B16</f>
        <v>14692.5</v>
      </c>
    </row>
    <row r="91">
      <c r="A91" t="inlineStr" s="17">
        <is>
          <t xml:space="preserve">Monthly non-check overhead · NS overhead · NS operating profit · NaukriShield — Downside · NaukriShield — Downside · NaukriShield — Downside</t>
        </is>
      </c>
      <c r="C91" s="9">
        <f>'Pricing and editable planning i'!B16</f>
        <v>14692.5</v>
      </c>
    </row>
    <row r="92">
      <c r="A92" t="inlineStr" s="17">
        <is>
          <t xml:space="preserve">NS checks</t>
        </is>
      </c>
      <c r="D92" s="6">
        <f>SUM('Model inputs'!D93,'Model inputs'!D94,'Model inputs'!D95)</f>
        <v>0</v>
      </c>
      <c r="E92" s="6">
        <f>SUM('Model inputs'!E93,'Model inputs'!E94,'Model inputs'!E95)</f>
        <v>0</v>
      </c>
      <c r="F92" s="6">
        <f>SUM('Model inputs'!F93,'Model inputs'!F94,'Model inputs'!F95)</f>
        <v>0</v>
      </c>
      <c r="G92" s="6">
        <f>SUM('Model inputs'!G93,'Model inputs'!G94,'Model inputs'!G95)</f>
        <v>0</v>
      </c>
      <c r="H92" s="6">
        <f>SUM('Model inputs'!H93,'Model inputs'!H94,'Model inputs'!H95)</f>
        <v>0</v>
      </c>
      <c r="I92" s="6">
        <f>SUM('Model inputs'!I93,'Model inputs'!I94,'Model inputs'!I95)</f>
        <v>0</v>
      </c>
      <c r="J92" s="6">
        <f>SUM('Model inputs'!J93,'Model inputs'!J94,'Model inputs'!J95)</f>
        <v>0</v>
      </c>
      <c r="K92" s="6">
        <f>SUM('Model inputs'!K93,'Model inputs'!K94,'Model inputs'!K95)</f>
        <v>0</v>
      </c>
      <c r="L92" s="6">
        <f>SUM('Model inputs'!L93,'Model inputs'!L94,'Model inputs'!L95)</f>
        <v>0</v>
      </c>
      <c r="M92" s="6">
        <f>SUM('Model inputs'!M93,'Model inputs'!M94,'Model inputs'!M95)</f>
        <v>17000</v>
      </c>
      <c r="N92" s="6">
        <f>SUM('Model inputs'!N93,'Model inputs'!N94,'Model inputs'!N95)</f>
        <v>17000</v>
      </c>
      <c r="O92" s="6">
        <f>SUM('Model inputs'!O93,'Model inputs'!O94,'Model inputs'!O95)</f>
        <v>17000</v>
      </c>
      <c r="P92" s="6">
        <f>SUM('Model inputs'!P93,'Model inputs'!P94,'Model inputs'!P95)</f>
        <v>17000</v>
      </c>
      <c r="Q92" s="6">
        <f>SUM('Model inputs'!Q93,'Model inputs'!Q94,'Model inputs'!Q95)</f>
        <v>17000</v>
      </c>
      <c r="R92" s="6">
        <f>SUM('Model inputs'!R93,'Model inputs'!R94,'Model inputs'!R95)</f>
        <v>17000</v>
      </c>
      <c r="S92" s="6">
        <f>SUM('Model inputs'!S93,'Model inputs'!S94,'Model inputs'!S95)</f>
        <v>17000</v>
      </c>
      <c r="T92" s="6">
        <f>SUM('Model inputs'!T93,'Model inputs'!T94,'Model inputs'!T95)</f>
        <v>17000</v>
      </c>
      <c r="U92" s="6">
        <f>SUM('Model inputs'!U93,'Model inputs'!U94,'Model inputs'!U95)</f>
        <v>17000</v>
      </c>
      <c r="V92" s="6">
        <f>SUM('Model inputs'!V93,'Model inputs'!V94,'Model inputs'!V95)</f>
        <v>17000</v>
      </c>
      <c r="W92" s="6">
        <f>SUM('Model inputs'!W93,'Model inputs'!W94,'Model inputs'!W95)</f>
        <v>17000</v>
      </c>
      <c r="X92" s="6">
        <f>SUM('Model inputs'!X93,'Model inputs'!X94,'Model inputs'!X95)</f>
        <v>17000</v>
      </c>
      <c r="Y92" s="6">
        <f>SUM('Model inputs'!Y93,'Model inputs'!Y94,'Model inputs'!Y95)</f>
        <v>17000</v>
      </c>
      <c r="Z92" s="6">
        <f>SUM('Model inputs'!Z93,'Model inputs'!Z94,'Model inputs'!Z95)</f>
        <v>17000</v>
      </c>
      <c r="AA92" s="6">
        <f>SUM('Model inputs'!AA93,'Model inputs'!AA94,'Model inputs'!AA95)</f>
        <v>17000</v>
      </c>
    </row>
    <row r="93" outlineLevel="1">
      <c r="A93" t="inlineStr" s="18">
        <is>
          <t xml:space="preserve">NS checks &gt; API</t>
        </is>
      </c>
      <c r="D93" s="10">
        <f>'Model inputs'!D65</f>
        <v>0</v>
      </c>
      <c r="E93" s="10">
        <f>'Model inputs'!E65</f>
        <v>0</v>
      </c>
      <c r="F93" s="10">
        <f>'Model inputs'!F65</f>
        <v>0</v>
      </c>
      <c r="G93" s="10">
        <f>'Model inputs'!G65</f>
        <v>0</v>
      </c>
      <c r="H93" s="10">
        <f>'Model inputs'!H65</f>
        <v>0</v>
      </c>
      <c r="I93" s="10">
        <f>'Model inputs'!I65</f>
        <v>0</v>
      </c>
      <c r="J93" s="10">
        <f>'Model inputs'!J65</f>
        <v>0</v>
      </c>
      <c r="K93" s="10">
        <f>'Model inputs'!K65</f>
        <v>0</v>
      </c>
      <c r="L93" s="10">
        <f>'Model inputs'!L65</f>
        <v>0</v>
      </c>
      <c r="M93" s="10">
        <f>IF(EXACT("API","Cyber-cafes"),'Model inputs'!C100*'Model inputs'!C108,IF(EXACT("API","API"),'Model inputs'!C102/12,'Model inputs'!C104*MIN('Model inputs'!C110,'Model inputs'!C114)))</f>
        <v>5000</v>
      </c>
      <c r="N93" s="10">
        <f>IF(EXACT("API","Cyber-cafes"),'Model inputs'!C100*'Model inputs'!C108,IF(EXACT("API","API"),'Model inputs'!C102/12,'Model inputs'!C104*MIN('Model inputs'!C110,'Model inputs'!C114)))</f>
        <v>5000</v>
      </c>
      <c r="O93" s="10">
        <f>IF(EXACT("API","Cyber-cafes"),'Model inputs'!C100*'Model inputs'!C108,IF(EXACT("API","API"),'Model inputs'!C102/12,'Model inputs'!C104*MIN('Model inputs'!C110,'Model inputs'!C114)))</f>
        <v>5000</v>
      </c>
      <c r="P93" s="10">
        <f>IF(EXACT("API","Cyber-cafes"),'Model inputs'!C100*'Model inputs'!C108,IF(EXACT("API","API"),'Model inputs'!C102/12,'Model inputs'!C104*MIN('Model inputs'!C110,'Model inputs'!C114)))</f>
        <v>5000</v>
      </c>
      <c r="Q93" s="10">
        <f>IF(EXACT("API","Cyber-cafes"),'Model inputs'!C100*'Model inputs'!C108,IF(EXACT("API","API"),'Model inputs'!C102/12,'Model inputs'!C104*MIN('Model inputs'!C110,'Model inputs'!C114)))</f>
        <v>5000</v>
      </c>
      <c r="R93" s="10">
        <f>IF(EXACT("API","Cyber-cafes"),'Model inputs'!C100*'Model inputs'!C108,IF(EXACT("API","API"),'Model inputs'!C102/12,'Model inputs'!C104*MIN('Model inputs'!C110,'Model inputs'!C114)))</f>
        <v>5000</v>
      </c>
      <c r="S93" s="10">
        <f>IF(EXACT("API","Cyber-cafes"),'Model inputs'!C100*'Model inputs'!C108,IF(EXACT("API","API"),'Model inputs'!C102/12,'Model inputs'!C104*MIN('Model inputs'!C110,'Model inputs'!C114)))</f>
        <v>5000</v>
      </c>
      <c r="T93" s="10">
        <f>IF(EXACT("API","Cyber-cafes"),'Model inputs'!C100*'Model inputs'!C108,IF(EXACT("API","API"),'Model inputs'!C102/12,'Model inputs'!C104*MIN('Model inputs'!C110,'Model inputs'!C114)))</f>
        <v>5000</v>
      </c>
      <c r="U93" s="10">
        <f>IF(EXACT("API","Cyber-cafes"),'Model inputs'!C100*'Model inputs'!C108,IF(EXACT("API","API"),'Model inputs'!C102/12,'Model inputs'!C104*MIN('Model inputs'!C110,'Model inputs'!C114)))</f>
        <v>5000</v>
      </c>
      <c r="V93" s="10">
        <f>IF(EXACT("API","Cyber-cafes"),'Model inputs'!C100*'Model inputs'!C108,IF(EXACT("API","API"),'Model inputs'!C102/12,'Model inputs'!C104*MIN('Model inputs'!C110,'Model inputs'!C114)))</f>
        <v>5000</v>
      </c>
      <c r="W93" s="10">
        <f>IF(EXACT("API","Cyber-cafes"),'Model inputs'!C100*'Model inputs'!C108,IF(EXACT("API","API"),'Model inputs'!C102/12,'Model inputs'!C104*MIN('Model inputs'!C110,'Model inputs'!C114)))</f>
        <v>5000</v>
      </c>
      <c r="X93" s="10">
        <f>IF(EXACT("API","Cyber-cafes"),'Model inputs'!C100*'Model inputs'!C108,IF(EXACT("API","API"),'Model inputs'!C102/12,'Model inputs'!C104*MIN('Model inputs'!C110,'Model inputs'!C114)))</f>
        <v>5000</v>
      </c>
      <c r="Y93" s="10">
        <f>IF(EXACT("API","Cyber-cafes"),'Model inputs'!C100*'Model inputs'!C108,IF(EXACT("API","API"),'Model inputs'!C102/12,'Model inputs'!C104*MIN('Model inputs'!C110,'Model inputs'!C114)))</f>
        <v>5000</v>
      </c>
      <c r="Z93" s="10">
        <f>IF(EXACT("API","Cyber-cafes"),'Model inputs'!C100*'Model inputs'!C108,IF(EXACT("API","API"),'Model inputs'!C102/12,'Model inputs'!C104*MIN('Model inputs'!C110,'Model inputs'!C114)))</f>
        <v>5000</v>
      </c>
      <c r="AA93" s="10">
        <f>IF(EXACT("API","Cyber-cafes"),'Model inputs'!C100*'Model inputs'!C108,IF(EXACT("API","API"),'Model inputs'!C102/12,'Model inputs'!C104*MIN('Model inputs'!C110,'Model inputs'!C114)))</f>
        <v>5000</v>
      </c>
    </row>
    <row r="94" outlineLevel="1">
      <c r="A94" t="inlineStr" s="18">
        <is>
          <t xml:space="preserve">NS checks &gt; Cyber-cafes</t>
        </is>
      </c>
      <c r="D94" s="10">
        <f>'Model inputs'!D66</f>
        <v>0</v>
      </c>
      <c r="E94" s="10">
        <f>'Model inputs'!E66</f>
        <v>0</v>
      </c>
      <c r="F94" s="10">
        <f>'Model inputs'!F66</f>
        <v>0</v>
      </c>
      <c r="G94" s="10">
        <f>'Model inputs'!G66</f>
        <v>0</v>
      </c>
      <c r="H94" s="10">
        <f>'Model inputs'!H66</f>
        <v>0</v>
      </c>
      <c r="I94" s="10">
        <f>'Model inputs'!I66</f>
        <v>0</v>
      </c>
      <c r="J94" s="10">
        <f>'Model inputs'!J66</f>
        <v>0</v>
      </c>
      <c r="K94" s="10">
        <f>'Model inputs'!K66</f>
        <v>0</v>
      </c>
      <c r="L94" s="10">
        <f>'Model inputs'!L66</f>
        <v>0</v>
      </c>
      <c r="M94" s="10">
        <f>IF(EXACT("Cyber-cafes","Cyber-cafes"),'Model inputs'!C100*'Model inputs'!C108,IF(EXACT("Cyber-cafes","API"),'Model inputs'!C102/12,'Model inputs'!C104*MIN('Model inputs'!C110,'Model inputs'!C114)))</f>
        <v>6000</v>
      </c>
      <c r="N94" s="10">
        <f>IF(EXACT("Cyber-cafes","Cyber-cafes"),'Model inputs'!C100*'Model inputs'!C108,IF(EXACT("Cyber-cafes","API"),'Model inputs'!C102/12,'Model inputs'!C104*MIN('Model inputs'!C110,'Model inputs'!C114)))</f>
        <v>6000</v>
      </c>
      <c r="O94" s="10">
        <f>IF(EXACT("Cyber-cafes","Cyber-cafes"),'Model inputs'!C100*'Model inputs'!C108,IF(EXACT("Cyber-cafes","API"),'Model inputs'!C102/12,'Model inputs'!C104*MIN('Model inputs'!C110,'Model inputs'!C114)))</f>
        <v>6000</v>
      </c>
      <c r="P94" s="10">
        <f>IF(EXACT("Cyber-cafes","Cyber-cafes"),'Model inputs'!C100*'Model inputs'!C108,IF(EXACT("Cyber-cafes","API"),'Model inputs'!C102/12,'Model inputs'!C104*MIN('Model inputs'!C110,'Model inputs'!C114)))</f>
        <v>6000</v>
      </c>
      <c r="Q94" s="10">
        <f>IF(EXACT("Cyber-cafes","Cyber-cafes"),'Model inputs'!C100*'Model inputs'!C108,IF(EXACT("Cyber-cafes","API"),'Model inputs'!C102/12,'Model inputs'!C104*MIN('Model inputs'!C110,'Model inputs'!C114)))</f>
        <v>6000</v>
      </c>
      <c r="R94" s="10">
        <f>IF(EXACT("Cyber-cafes","Cyber-cafes"),'Model inputs'!C100*'Model inputs'!C108,IF(EXACT("Cyber-cafes","API"),'Model inputs'!C102/12,'Model inputs'!C104*MIN('Model inputs'!C110,'Model inputs'!C114)))</f>
        <v>6000</v>
      </c>
      <c r="S94" s="10">
        <f>IF(EXACT("Cyber-cafes","Cyber-cafes"),'Model inputs'!C100*'Model inputs'!C108,IF(EXACT("Cyber-cafes","API"),'Model inputs'!C102/12,'Model inputs'!C104*MIN('Model inputs'!C110,'Model inputs'!C114)))</f>
        <v>6000</v>
      </c>
      <c r="T94" s="10">
        <f>IF(EXACT("Cyber-cafes","Cyber-cafes"),'Model inputs'!C100*'Model inputs'!C108,IF(EXACT("Cyber-cafes","API"),'Model inputs'!C102/12,'Model inputs'!C104*MIN('Model inputs'!C110,'Model inputs'!C114)))</f>
        <v>6000</v>
      </c>
      <c r="U94" s="10">
        <f>IF(EXACT("Cyber-cafes","Cyber-cafes"),'Model inputs'!C100*'Model inputs'!C108,IF(EXACT("Cyber-cafes","API"),'Model inputs'!C102/12,'Model inputs'!C104*MIN('Model inputs'!C110,'Model inputs'!C114)))</f>
        <v>6000</v>
      </c>
      <c r="V94" s="10">
        <f>IF(EXACT("Cyber-cafes","Cyber-cafes"),'Model inputs'!C100*'Model inputs'!C108,IF(EXACT("Cyber-cafes","API"),'Model inputs'!C102/12,'Model inputs'!C104*MIN('Model inputs'!C110,'Model inputs'!C114)))</f>
        <v>6000</v>
      </c>
      <c r="W94" s="10">
        <f>IF(EXACT("Cyber-cafes","Cyber-cafes"),'Model inputs'!C100*'Model inputs'!C108,IF(EXACT("Cyber-cafes","API"),'Model inputs'!C102/12,'Model inputs'!C104*MIN('Model inputs'!C110,'Model inputs'!C114)))</f>
        <v>6000</v>
      </c>
      <c r="X94" s="10">
        <f>IF(EXACT("Cyber-cafes","Cyber-cafes"),'Model inputs'!C100*'Model inputs'!C108,IF(EXACT("Cyber-cafes","API"),'Model inputs'!C102/12,'Model inputs'!C104*MIN('Model inputs'!C110,'Model inputs'!C114)))</f>
        <v>6000</v>
      </c>
      <c r="Y94" s="10">
        <f>IF(EXACT("Cyber-cafes","Cyber-cafes"),'Model inputs'!C100*'Model inputs'!C108,IF(EXACT("Cyber-cafes","API"),'Model inputs'!C102/12,'Model inputs'!C104*MIN('Model inputs'!C110,'Model inputs'!C114)))</f>
        <v>6000</v>
      </c>
      <c r="Z94" s="10">
        <f>IF(EXACT("Cyber-cafes","Cyber-cafes"),'Model inputs'!C100*'Model inputs'!C108,IF(EXACT("Cyber-cafes","API"),'Model inputs'!C102/12,'Model inputs'!C104*MIN('Model inputs'!C110,'Model inputs'!C114)))</f>
        <v>6000</v>
      </c>
      <c r="AA94" s="10">
        <f>IF(EXACT("Cyber-cafes","Cyber-cafes"),'Model inputs'!C100*'Model inputs'!C108,IF(EXACT("Cyber-cafes","API"),'Model inputs'!C102/12,'Model inputs'!C104*MIN('Model inputs'!C110,'Model inputs'!C114)))</f>
        <v>6000</v>
      </c>
    </row>
    <row r="95" outlineLevel="1">
      <c r="A95" t="inlineStr" s="18">
        <is>
          <t xml:space="preserve">NS checks &gt; Students</t>
        </is>
      </c>
      <c r="D95" s="10">
        <f>'Model inputs'!D67</f>
        <v>0</v>
      </c>
      <c r="E95" s="10">
        <f>'Model inputs'!E67</f>
        <v>0</v>
      </c>
      <c r="F95" s="10">
        <f>'Model inputs'!F67</f>
        <v>0</v>
      </c>
      <c r="G95" s="10">
        <f>'Model inputs'!G67</f>
        <v>0</v>
      </c>
      <c r="H95" s="10">
        <f>'Model inputs'!H67</f>
        <v>0</v>
      </c>
      <c r="I95" s="10">
        <f>'Model inputs'!I67</f>
        <v>0</v>
      </c>
      <c r="J95" s="10">
        <f>'Model inputs'!J67</f>
        <v>0</v>
      </c>
      <c r="K95" s="10">
        <f>'Model inputs'!K67</f>
        <v>0</v>
      </c>
      <c r="L95" s="10">
        <f>'Model inputs'!L67</f>
        <v>0</v>
      </c>
      <c r="M95" s="10">
        <f>IF(EXACT("Students","Cyber-cafes"),'Model inputs'!C100*'Model inputs'!C108,IF(EXACT("Students","API"),'Model inputs'!C102/12,'Model inputs'!C104*MIN('Model inputs'!C110,'Model inputs'!C114)))</f>
        <v>6000</v>
      </c>
      <c r="N95" s="10">
        <f>IF(EXACT("Students","Cyber-cafes"),'Model inputs'!C100*'Model inputs'!C108,IF(EXACT("Students","API"),'Model inputs'!C102/12,'Model inputs'!C104*MIN('Model inputs'!C110,'Model inputs'!C114)))</f>
        <v>6000</v>
      </c>
      <c r="O95" s="10">
        <f>IF(EXACT("Students","Cyber-cafes"),'Model inputs'!C100*'Model inputs'!C108,IF(EXACT("Students","API"),'Model inputs'!C102/12,'Model inputs'!C104*MIN('Model inputs'!C110,'Model inputs'!C114)))</f>
        <v>6000</v>
      </c>
      <c r="P95" s="10">
        <f>IF(EXACT("Students","Cyber-cafes"),'Model inputs'!C100*'Model inputs'!C108,IF(EXACT("Students","API"),'Model inputs'!C102/12,'Model inputs'!C104*MIN('Model inputs'!C110,'Model inputs'!C114)))</f>
        <v>6000</v>
      </c>
      <c r="Q95" s="10">
        <f>IF(EXACT("Students","Cyber-cafes"),'Model inputs'!C100*'Model inputs'!C108,IF(EXACT("Students","API"),'Model inputs'!C102/12,'Model inputs'!C104*MIN('Model inputs'!C110,'Model inputs'!C114)))</f>
        <v>6000</v>
      </c>
      <c r="R95" s="10">
        <f>IF(EXACT("Students","Cyber-cafes"),'Model inputs'!C100*'Model inputs'!C108,IF(EXACT("Students","API"),'Model inputs'!C102/12,'Model inputs'!C104*MIN('Model inputs'!C110,'Model inputs'!C114)))</f>
        <v>6000</v>
      </c>
      <c r="S95" s="10">
        <f>IF(EXACT("Students","Cyber-cafes"),'Model inputs'!C100*'Model inputs'!C108,IF(EXACT("Students","API"),'Model inputs'!C102/12,'Model inputs'!C104*MIN('Model inputs'!C110,'Model inputs'!C114)))</f>
        <v>6000</v>
      </c>
      <c r="T95" s="10">
        <f>IF(EXACT("Students","Cyber-cafes"),'Model inputs'!C100*'Model inputs'!C108,IF(EXACT("Students","API"),'Model inputs'!C102/12,'Model inputs'!C104*MIN('Model inputs'!C110,'Model inputs'!C114)))</f>
        <v>6000</v>
      </c>
      <c r="U95" s="10">
        <f>IF(EXACT("Students","Cyber-cafes"),'Model inputs'!C100*'Model inputs'!C108,IF(EXACT("Students","API"),'Model inputs'!C102/12,'Model inputs'!C104*MIN('Model inputs'!C110,'Model inputs'!C114)))</f>
        <v>6000</v>
      </c>
      <c r="V95" s="10">
        <f>IF(EXACT("Students","Cyber-cafes"),'Model inputs'!C100*'Model inputs'!C108,IF(EXACT("Students","API"),'Model inputs'!C102/12,'Model inputs'!C104*MIN('Model inputs'!C110,'Model inputs'!C114)))</f>
        <v>6000</v>
      </c>
      <c r="W95" s="10">
        <f>IF(EXACT("Students","Cyber-cafes"),'Model inputs'!C100*'Model inputs'!C108,IF(EXACT("Students","API"),'Model inputs'!C102/12,'Model inputs'!C104*MIN('Model inputs'!C110,'Model inputs'!C114)))</f>
        <v>6000</v>
      </c>
      <c r="X95" s="10">
        <f>IF(EXACT("Students","Cyber-cafes"),'Model inputs'!C100*'Model inputs'!C108,IF(EXACT("Students","API"),'Model inputs'!C102/12,'Model inputs'!C104*MIN('Model inputs'!C110,'Model inputs'!C114)))</f>
        <v>6000</v>
      </c>
      <c r="Y95" s="10">
        <f>IF(EXACT("Students","Cyber-cafes"),'Model inputs'!C100*'Model inputs'!C108,IF(EXACT("Students","API"),'Model inputs'!C102/12,'Model inputs'!C104*MIN('Model inputs'!C110,'Model inputs'!C114)))</f>
        <v>6000</v>
      </c>
      <c r="Z95" s="10">
        <f>IF(EXACT("Students","Cyber-cafes"),'Model inputs'!C100*'Model inputs'!C108,IF(EXACT("Students","API"),'Model inputs'!C102/12,'Model inputs'!C104*MIN('Model inputs'!C110,'Model inputs'!C114)))</f>
        <v>6000</v>
      </c>
      <c r="AA95" s="10">
        <f>IF(EXACT("Students","Cyber-cafes"),'Model inputs'!C100*'Model inputs'!C108,IF(EXACT("Students","API"),'Model inputs'!C102/12,'Model inputs'!C104*MIN('Model inputs'!C110,'Model inputs'!C114)))</f>
        <v>6000</v>
      </c>
    </row>
    <row r="96">
      <c r="A96" t="inlineStr" s="17">
        <is>
          <t xml:space="preserve">NS checks</t>
        </is>
      </c>
      <c r="D96" s="6">
        <f>SUM('Model inputs'!D97,'Model inputs'!D98,'Model inputs'!D99)</f>
        <v>0</v>
      </c>
      <c r="E96" s="6">
        <f>SUM('Model inputs'!E97,'Model inputs'!E98,'Model inputs'!E99)</f>
        <v>0</v>
      </c>
      <c r="F96" s="6">
        <f>SUM('Model inputs'!F97,'Model inputs'!F98,'Model inputs'!F99)</f>
        <v>0</v>
      </c>
      <c r="G96" s="6">
        <f>SUM('Model inputs'!G97,'Model inputs'!G98,'Model inputs'!G99)</f>
        <v>0</v>
      </c>
      <c r="H96" s="6">
        <f>SUM('Model inputs'!H97,'Model inputs'!H98,'Model inputs'!H99)</f>
        <v>0</v>
      </c>
      <c r="I96" s="6">
        <f>SUM('Model inputs'!I97,'Model inputs'!I98,'Model inputs'!I99)</f>
        <v>0</v>
      </c>
      <c r="J96" s="6">
        <f>SUM('Model inputs'!J97,'Model inputs'!J98,'Model inputs'!J99)</f>
        <v>0</v>
      </c>
      <c r="K96" s="6">
        <f>SUM('Model inputs'!K97,'Model inputs'!K98,'Model inputs'!K99)</f>
        <v>0</v>
      </c>
      <c r="L96" s="6">
        <f>SUM('Model inputs'!L97,'Model inputs'!L98,'Model inputs'!L99)</f>
        <v>0</v>
      </c>
      <c r="M96" s="6">
        <f>SUM('Model inputs'!M97,'Model inputs'!M98,'Model inputs'!M99)</f>
        <v>3200</v>
      </c>
      <c r="N96" s="6">
        <f>SUM('Model inputs'!N97,'Model inputs'!N98,'Model inputs'!N99)</f>
        <v>3200</v>
      </c>
      <c r="O96" s="6">
        <f>SUM('Model inputs'!O97,'Model inputs'!O98,'Model inputs'!O99)</f>
        <v>3200</v>
      </c>
      <c r="P96" s="6">
        <f>SUM('Model inputs'!P97,'Model inputs'!P98,'Model inputs'!P99)</f>
        <v>3200</v>
      </c>
      <c r="Q96" s="6">
        <f>SUM('Model inputs'!Q97,'Model inputs'!Q98,'Model inputs'!Q99)</f>
        <v>3200</v>
      </c>
      <c r="R96" s="6">
        <f>SUM('Model inputs'!R97,'Model inputs'!R98,'Model inputs'!R99)</f>
        <v>3200</v>
      </c>
      <c r="S96" s="6">
        <f>SUM('Model inputs'!S97,'Model inputs'!S98,'Model inputs'!S99)</f>
        <v>3200</v>
      </c>
      <c r="T96" s="6">
        <f>SUM('Model inputs'!T97,'Model inputs'!T98,'Model inputs'!T99)</f>
        <v>3200</v>
      </c>
      <c r="U96" s="6">
        <f>SUM('Model inputs'!U97,'Model inputs'!U98,'Model inputs'!U99)</f>
        <v>3200</v>
      </c>
      <c r="V96" s="6">
        <f>SUM('Model inputs'!V97,'Model inputs'!V98,'Model inputs'!V99)</f>
        <v>3200</v>
      </c>
      <c r="W96" s="6">
        <f>SUM('Model inputs'!W97,'Model inputs'!W98,'Model inputs'!W99)</f>
        <v>3200</v>
      </c>
      <c r="X96" s="6">
        <f>SUM('Model inputs'!X97,'Model inputs'!X98,'Model inputs'!X99)</f>
        <v>3200</v>
      </c>
      <c r="Y96" s="6">
        <f>SUM('Model inputs'!Y97,'Model inputs'!Y98,'Model inputs'!Y99)</f>
        <v>3200</v>
      </c>
      <c r="Z96" s="6">
        <f>SUM('Model inputs'!Z97,'Model inputs'!Z98,'Model inputs'!Z99)</f>
        <v>3200</v>
      </c>
      <c r="AA96" s="6">
        <f>SUM('Model inputs'!AA97,'Model inputs'!AA98,'Model inputs'!AA99)</f>
        <v>3200</v>
      </c>
    </row>
    <row r="97" outlineLevel="1">
      <c r="A97" t="inlineStr" s="18">
        <is>
          <t xml:space="preserve">NS checks &gt; API</t>
        </is>
      </c>
      <c r="D97" s="10">
        <f>'Model inputs'!D65</f>
        <v>0</v>
      </c>
      <c r="E97" s="10">
        <f>'Model inputs'!E65</f>
        <v>0</v>
      </c>
      <c r="F97" s="10">
        <f>'Model inputs'!F65</f>
        <v>0</v>
      </c>
      <c r="G97" s="10">
        <f>'Model inputs'!G65</f>
        <v>0</v>
      </c>
      <c r="H97" s="10">
        <f>'Model inputs'!H65</f>
        <v>0</v>
      </c>
      <c r="I97" s="10">
        <f>'Model inputs'!I65</f>
        <v>0</v>
      </c>
      <c r="J97" s="10">
        <f>'Model inputs'!J65</f>
        <v>0</v>
      </c>
      <c r="K97" s="10">
        <f>'Model inputs'!K65</f>
        <v>0</v>
      </c>
      <c r="L97" s="10">
        <f>'Model inputs'!L65</f>
        <v>0</v>
      </c>
      <c r="M97" s="10">
        <f>IF(EXACT("API","Cyber-cafes"),'Model inputs'!C101*'Model inputs'!C109,IF(EXACT("API","API"),'Model inputs'!C103/12,'Model inputs'!C105*MIN('Model inputs'!C111,'Model inputs'!C115)))</f>
        <v>0</v>
      </c>
      <c r="N97" s="10">
        <f>IF(EXACT("API","Cyber-cafes"),'Model inputs'!C101*'Model inputs'!C109,IF(EXACT("API","API"),'Model inputs'!C103/12,'Model inputs'!C105*MIN('Model inputs'!C111,'Model inputs'!C115)))</f>
        <v>0</v>
      </c>
      <c r="O97" s="10">
        <f>IF(EXACT("API","Cyber-cafes"),'Model inputs'!C101*'Model inputs'!C109,IF(EXACT("API","API"),'Model inputs'!C103/12,'Model inputs'!C105*MIN('Model inputs'!C111,'Model inputs'!C115)))</f>
        <v>0</v>
      </c>
      <c r="P97" s="10">
        <f>IF(EXACT("API","Cyber-cafes"),'Model inputs'!C101*'Model inputs'!C109,IF(EXACT("API","API"),'Model inputs'!C103/12,'Model inputs'!C105*MIN('Model inputs'!C111,'Model inputs'!C115)))</f>
        <v>0</v>
      </c>
      <c r="Q97" s="10">
        <f>IF(EXACT("API","Cyber-cafes"),'Model inputs'!C101*'Model inputs'!C109,IF(EXACT("API","API"),'Model inputs'!C103/12,'Model inputs'!C105*MIN('Model inputs'!C111,'Model inputs'!C115)))</f>
        <v>0</v>
      </c>
      <c r="R97" s="10">
        <f>IF(EXACT("API","Cyber-cafes"),'Model inputs'!C101*'Model inputs'!C109,IF(EXACT("API","API"),'Model inputs'!C103/12,'Model inputs'!C105*MIN('Model inputs'!C111,'Model inputs'!C115)))</f>
        <v>0</v>
      </c>
      <c r="S97" s="10">
        <f>IF(EXACT("API","Cyber-cafes"),'Model inputs'!C101*'Model inputs'!C109,IF(EXACT("API","API"),'Model inputs'!C103/12,'Model inputs'!C105*MIN('Model inputs'!C111,'Model inputs'!C115)))</f>
        <v>0</v>
      </c>
      <c r="T97" s="10">
        <f>IF(EXACT("API","Cyber-cafes"),'Model inputs'!C101*'Model inputs'!C109,IF(EXACT("API","API"),'Model inputs'!C103/12,'Model inputs'!C105*MIN('Model inputs'!C111,'Model inputs'!C115)))</f>
        <v>0</v>
      </c>
      <c r="U97" s="10">
        <f>IF(EXACT("API","Cyber-cafes"),'Model inputs'!C101*'Model inputs'!C109,IF(EXACT("API","API"),'Model inputs'!C103/12,'Model inputs'!C105*MIN('Model inputs'!C111,'Model inputs'!C115)))</f>
        <v>0</v>
      </c>
      <c r="V97" s="10">
        <f>IF(EXACT("API","Cyber-cafes"),'Model inputs'!C101*'Model inputs'!C109,IF(EXACT("API","API"),'Model inputs'!C103/12,'Model inputs'!C105*MIN('Model inputs'!C111,'Model inputs'!C115)))</f>
        <v>0</v>
      </c>
      <c r="W97" s="10">
        <f>IF(EXACT("API","Cyber-cafes"),'Model inputs'!C101*'Model inputs'!C109,IF(EXACT("API","API"),'Model inputs'!C103/12,'Model inputs'!C105*MIN('Model inputs'!C111,'Model inputs'!C115)))</f>
        <v>0</v>
      </c>
      <c r="X97" s="10">
        <f>IF(EXACT("API","Cyber-cafes"),'Model inputs'!C101*'Model inputs'!C109,IF(EXACT("API","API"),'Model inputs'!C103/12,'Model inputs'!C105*MIN('Model inputs'!C111,'Model inputs'!C115)))</f>
        <v>0</v>
      </c>
      <c r="Y97" s="10">
        <f>IF(EXACT("API","Cyber-cafes"),'Model inputs'!C101*'Model inputs'!C109,IF(EXACT("API","API"),'Model inputs'!C103/12,'Model inputs'!C105*MIN('Model inputs'!C111,'Model inputs'!C115)))</f>
        <v>0</v>
      </c>
      <c r="Z97" s="10">
        <f>IF(EXACT("API","Cyber-cafes"),'Model inputs'!C101*'Model inputs'!C109,IF(EXACT("API","API"),'Model inputs'!C103/12,'Model inputs'!C105*MIN('Model inputs'!C111,'Model inputs'!C115)))</f>
        <v>0</v>
      </c>
      <c r="AA97" s="10">
        <f>IF(EXACT("API","Cyber-cafes"),'Model inputs'!C101*'Model inputs'!C109,IF(EXACT("API","API"),'Model inputs'!C103/12,'Model inputs'!C105*MIN('Model inputs'!C111,'Model inputs'!C115)))</f>
        <v>0</v>
      </c>
    </row>
    <row r="98" outlineLevel="1">
      <c r="A98" t="inlineStr" s="18">
        <is>
          <t xml:space="preserve">NS checks &gt; Cyber-cafes</t>
        </is>
      </c>
      <c r="D98" s="10">
        <f>'Model inputs'!D66</f>
        <v>0</v>
      </c>
      <c r="E98" s="10">
        <f>'Model inputs'!E66</f>
        <v>0</v>
      </c>
      <c r="F98" s="10">
        <f>'Model inputs'!F66</f>
        <v>0</v>
      </c>
      <c r="G98" s="10">
        <f>'Model inputs'!G66</f>
        <v>0</v>
      </c>
      <c r="H98" s="10">
        <f>'Model inputs'!H66</f>
        <v>0</v>
      </c>
      <c r="I98" s="10">
        <f>'Model inputs'!I66</f>
        <v>0</v>
      </c>
      <c r="J98" s="10">
        <f>'Model inputs'!J66</f>
        <v>0</v>
      </c>
      <c r="K98" s="10">
        <f>'Model inputs'!K66</f>
        <v>0</v>
      </c>
      <c r="L98" s="10">
        <f>'Model inputs'!L66</f>
        <v>0</v>
      </c>
      <c r="M98" s="10">
        <f>IF(EXACT("Cyber-cafes","Cyber-cafes"),'Model inputs'!C101*'Model inputs'!C109,IF(EXACT("Cyber-cafes","API"),'Model inputs'!C103/12,'Model inputs'!C105*MIN('Model inputs'!C111,'Model inputs'!C115)))</f>
        <v>200</v>
      </c>
      <c r="N98" s="10">
        <f>IF(EXACT("Cyber-cafes","Cyber-cafes"),'Model inputs'!C101*'Model inputs'!C109,IF(EXACT("Cyber-cafes","API"),'Model inputs'!C103/12,'Model inputs'!C105*MIN('Model inputs'!C111,'Model inputs'!C115)))</f>
        <v>200</v>
      </c>
      <c r="O98" s="10">
        <f>IF(EXACT("Cyber-cafes","Cyber-cafes"),'Model inputs'!C101*'Model inputs'!C109,IF(EXACT("Cyber-cafes","API"),'Model inputs'!C103/12,'Model inputs'!C105*MIN('Model inputs'!C111,'Model inputs'!C115)))</f>
        <v>200</v>
      </c>
      <c r="P98" s="10">
        <f>IF(EXACT("Cyber-cafes","Cyber-cafes"),'Model inputs'!C101*'Model inputs'!C109,IF(EXACT("Cyber-cafes","API"),'Model inputs'!C103/12,'Model inputs'!C105*MIN('Model inputs'!C111,'Model inputs'!C115)))</f>
        <v>200</v>
      </c>
      <c r="Q98" s="10">
        <f>IF(EXACT("Cyber-cafes","Cyber-cafes"),'Model inputs'!C101*'Model inputs'!C109,IF(EXACT("Cyber-cafes","API"),'Model inputs'!C103/12,'Model inputs'!C105*MIN('Model inputs'!C111,'Model inputs'!C115)))</f>
        <v>200</v>
      </c>
      <c r="R98" s="10">
        <f>IF(EXACT("Cyber-cafes","Cyber-cafes"),'Model inputs'!C101*'Model inputs'!C109,IF(EXACT("Cyber-cafes","API"),'Model inputs'!C103/12,'Model inputs'!C105*MIN('Model inputs'!C111,'Model inputs'!C115)))</f>
        <v>200</v>
      </c>
      <c r="S98" s="10">
        <f>IF(EXACT("Cyber-cafes","Cyber-cafes"),'Model inputs'!C101*'Model inputs'!C109,IF(EXACT("Cyber-cafes","API"),'Model inputs'!C103/12,'Model inputs'!C105*MIN('Model inputs'!C111,'Model inputs'!C115)))</f>
        <v>200</v>
      </c>
      <c r="T98" s="10">
        <f>IF(EXACT("Cyber-cafes","Cyber-cafes"),'Model inputs'!C101*'Model inputs'!C109,IF(EXACT("Cyber-cafes","API"),'Model inputs'!C103/12,'Model inputs'!C105*MIN('Model inputs'!C111,'Model inputs'!C115)))</f>
        <v>200</v>
      </c>
      <c r="U98" s="10">
        <f>IF(EXACT("Cyber-cafes","Cyber-cafes"),'Model inputs'!C101*'Model inputs'!C109,IF(EXACT("Cyber-cafes","API"),'Model inputs'!C103/12,'Model inputs'!C105*MIN('Model inputs'!C111,'Model inputs'!C115)))</f>
        <v>200</v>
      </c>
      <c r="V98" s="10">
        <f>IF(EXACT("Cyber-cafes","Cyber-cafes"),'Model inputs'!C101*'Model inputs'!C109,IF(EXACT("Cyber-cafes","API"),'Model inputs'!C103/12,'Model inputs'!C105*MIN('Model inputs'!C111,'Model inputs'!C115)))</f>
        <v>200</v>
      </c>
      <c r="W98" s="10">
        <f>IF(EXACT("Cyber-cafes","Cyber-cafes"),'Model inputs'!C101*'Model inputs'!C109,IF(EXACT("Cyber-cafes","API"),'Model inputs'!C103/12,'Model inputs'!C105*MIN('Model inputs'!C111,'Model inputs'!C115)))</f>
        <v>200</v>
      </c>
      <c r="X98" s="10">
        <f>IF(EXACT("Cyber-cafes","Cyber-cafes"),'Model inputs'!C101*'Model inputs'!C109,IF(EXACT("Cyber-cafes","API"),'Model inputs'!C103/12,'Model inputs'!C105*MIN('Model inputs'!C111,'Model inputs'!C115)))</f>
        <v>200</v>
      </c>
      <c r="Y98" s="10">
        <f>IF(EXACT("Cyber-cafes","Cyber-cafes"),'Model inputs'!C101*'Model inputs'!C109,IF(EXACT("Cyber-cafes","API"),'Model inputs'!C103/12,'Model inputs'!C105*MIN('Model inputs'!C111,'Model inputs'!C115)))</f>
        <v>200</v>
      </c>
      <c r="Z98" s="10">
        <f>IF(EXACT("Cyber-cafes","Cyber-cafes"),'Model inputs'!C101*'Model inputs'!C109,IF(EXACT("Cyber-cafes","API"),'Model inputs'!C103/12,'Model inputs'!C105*MIN('Model inputs'!C111,'Model inputs'!C115)))</f>
        <v>200</v>
      </c>
      <c r="AA98" s="10">
        <f>IF(EXACT("Cyber-cafes","Cyber-cafes"),'Model inputs'!C101*'Model inputs'!C109,IF(EXACT("Cyber-cafes","API"),'Model inputs'!C103/12,'Model inputs'!C105*MIN('Model inputs'!C111,'Model inputs'!C115)))</f>
        <v>200</v>
      </c>
    </row>
    <row r="99" outlineLevel="1">
      <c r="A99" t="inlineStr" s="18">
        <is>
          <t xml:space="preserve">NS checks &gt; Students</t>
        </is>
      </c>
      <c r="D99" s="10">
        <f>'Model inputs'!D67</f>
        <v>0</v>
      </c>
      <c r="E99" s="10">
        <f>'Model inputs'!E67</f>
        <v>0</v>
      </c>
      <c r="F99" s="10">
        <f>'Model inputs'!F67</f>
        <v>0</v>
      </c>
      <c r="G99" s="10">
        <f>'Model inputs'!G67</f>
        <v>0</v>
      </c>
      <c r="H99" s="10">
        <f>'Model inputs'!H67</f>
        <v>0</v>
      </c>
      <c r="I99" s="10">
        <f>'Model inputs'!I67</f>
        <v>0</v>
      </c>
      <c r="J99" s="10">
        <f>'Model inputs'!J67</f>
        <v>0</v>
      </c>
      <c r="K99" s="10">
        <f>'Model inputs'!K67</f>
        <v>0</v>
      </c>
      <c r="L99" s="10">
        <f>'Model inputs'!L67</f>
        <v>0</v>
      </c>
      <c r="M99" s="10">
        <f>IF(EXACT("Students","Cyber-cafes"),'Model inputs'!C101*'Model inputs'!C109,IF(EXACT("Students","API"),'Model inputs'!C103/12,'Model inputs'!C105*MIN('Model inputs'!C111,'Model inputs'!C115)))</f>
        <v>3000</v>
      </c>
      <c r="N99" s="10">
        <f>IF(EXACT("Students","Cyber-cafes"),'Model inputs'!C101*'Model inputs'!C109,IF(EXACT("Students","API"),'Model inputs'!C103/12,'Model inputs'!C105*MIN('Model inputs'!C111,'Model inputs'!C115)))</f>
        <v>3000</v>
      </c>
      <c r="O99" s="10">
        <f>IF(EXACT("Students","Cyber-cafes"),'Model inputs'!C101*'Model inputs'!C109,IF(EXACT("Students","API"),'Model inputs'!C103/12,'Model inputs'!C105*MIN('Model inputs'!C111,'Model inputs'!C115)))</f>
        <v>3000</v>
      </c>
      <c r="P99" s="10">
        <f>IF(EXACT("Students","Cyber-cafes"),'Model inputs'!C101*'Model inputs'!C109,IF(EXACT("Students","API"),'Model inputs'!C103/12,'Model inputs'!C105*MIN('Model inputs'!C111,'Model inputs'!C115)))</f>
        <v>3000</v>
      </c>
      <c r="Q99" s="10">
        <f>IF(EXACT("Students","Cyber-cafes"),'Model inputs'!C101*'Model inputs'!C109,IF(EXACT("Students","API"),'Model inputs'!C103/12,'Model inputs'!C105*MIN('Model inputs'!C111,'Model inputs'!C115)))</f>
        <v>3000</v>
      </c>
      <c r="R99" s="10">
        <f>IF(EXACT("Students","Cyber-cafes"),'Model inputs'!C101*'Model inputs'!C109,IF(EXACT("Students","API"),'Model inputs'!C103/12,'Model inputs'!C105*MIN('Model inputs'!C111,'Model inputs'!C115)))</f>
        <v>3000</v>
      </c>
      <c r="S99" s="10">
        <f>IF(EXACT("Students","Cyber-cafes"),'Model inputs'!C101*'Model inputs'!C109,IF(EXACT("Students","API"),'Model inputs'!C103/12,'Model inputs'!C105*MIN('Model inputs'!C111,'Model inputs'!C115)))</f>
        <v>3000</v>
      </c>
      <c r="T99" s="10">
        <f>IF(EXACT("Students","Cyber-cafes"),'Model inputs'!C101*'Model inputs'!C109,IF(EXACT("Students","API"),'Model inputs'!C103/12,'Model inputs'!C105*MIN('Model inputs'!C111,'Model inputs'!C115)))</f>
        <v>3000</v>
      </c>
      <c r="U99" s="10">
        <f>IF(EXACT("Students","Cyber-cafes"),'Model inputs'!C101*'Model inputs'!C109,IF(EXACT("Students","API"),'Model inputs'!C103/12,'Model inputs'!C105*MIN('Model inputs'!C111,'Model inputs'!C115)))</f>
        <v>3000</v>
      </c>
      <c r="V99" s="10">
        <f>IF(EXACT("Students","Cyber-cafes"),'Model inputs'!C101*'Model inputs'!C109,IF(EXACT("Students","API"),'Model inputs'!C103/12,'Model inputs'!C105*MIN('Model inputs'!C111,'Model inputs'!C115)))</f>
        <v>3000</v>
      </c>
      <c r="W99" s="10">
        <f>IF(EXACT("Students","Cyber-cafes"),'Model inputs'!C101*'Model inputs'!C109,IF(EXACT("Students","API"),'Model inputs'!C103/12,'Model inputs'!C105*MIN('Model inputs'!C111,'Model inputs'!C115)))</f>
        <v>3000</v>
      </c>
      <c r="X99" s="10">
        <f>IF(EXACT("Students","Cyber-cafes"),'Model inputs'!C101*'Model inputs'!C109,IF(EXACT("Students","API"),'Model inputs'!C103/12,'Model inputs'!C105*MIN('Model inputs'!C111,'Model inputs'!C115)))</f>
        <v>3000</v>
      </c>
      <c r="Y99" s="10">
        <f>IF(EXACT("Students","Cyber-cafes"),'Model inputs'!C101*'Model inputs'!C109,IF(EXACT("Students","API"),'Model inputs'!C103/12,'Model inputs'!C105*MIN('Model inputs'!C111,'Model inputs'!C115)))</f>
        <v>3000</v>
      </c>
      <c r="Z99" s="10">
        <f>IF(EXACT("Students","Cyber-cafes"),'Model inputs'!C101*'Model inputs'!C109,IF(EXACT("Students","API"),'Model inputs'!C103/12,'Model inputs'!C105*MIN('Model inputs'!C111,'Model inputs'!C115)))</f>
        <v>3000</v>
      </c>
      <c r="AA99" s="10">
        <f>IF(EXACT("Students","Cyber-cafes"),'Model inputs'!C101*'Model inputs'!C109,IF(EXACT("Students","API"),'Model inputs'!C103/12,'Model inputs'!C105*MIN('Model inputs'!C111,'Model inputs'!C115)))</f>
        <v>3000</v>
      </c>
    </row>
    <row r="100">
      <c r="A100" t="inlineStr" s="17">
        <is>
          <t xml:space="preserve">Paying cafes · NS revenue · by NS customer channel · NaukriShield — Upside · NaukriShield — Upside</t>
        </is>
      </c>
      <c r="C100" s="10">
        <f>300</f>
        <v>300</v>
      </c>
    </row>
    <row r="101">
      <c r="A101" t="inlineStr" s="17">
        <is>
          <t xml:space="preserve">Paying cafes · NS revenue · by NS customer channel · NaukriShield — Downside · NaukriShield — Downside</t>
        </is>
      </c>
      <c r="C101" s="10">
        <f>20</f>
        <v>20</v>
      </c>
    </row>
    <row r="102">
      <c r="A102" t="inlineStr" s="17">
        <is>
          <t xml:space="preserve">Year 1 API checks · NS revenue · by NS customer channel · NaukriShield — Upside · NaukriShield — Upside</t>
        </is>
      </c>
      <c r="C102" s="10">
        <f>60000</f>
        <v>60000</v>
      </c>
    </row>
    <row r="103">
      <c r="A103" t="inlineStr" s="17">
        <is>
          <t xml:space="preserve">Year 1 API checks · NS revenue · by NS customer channel · NaukriShield — Downside · NaukriShield — Downside</t>
        </is>
      </c>
      <c r="C103" s="10">
        <f>0</f>
        <v>0</v>
      </c>
    </row>
    <row r="104">
      <c r="A104" t="inlineStr" s="17">
        <is>
          <t xml:space="preserve">Active free students · NS checks · NS operating profit · NaukriShield — Upside · NaukriShield — Upside · NaukriShield — Upside</t>
        </is>
      </c>
      <c r="C104" s="10">
        <f>2000</f>
        <v>2000</v>
      </c>
    </row>
    <row r="105">
      <c r="A105" t="inlineStr" s="17">
        <is>
          <t xml:space="preserve">Active free students · NS checks · NS operating profit · NaukriShield — Downside · NaukriShield — Downside · NaukriShield — Downside</t>
        </is>
      </c>
      <c r="C105" s="10">
        <f>'Pricing and editable planning i'!B14</f>
        <v>1000</v>
      </c>
    </row>
    <row r="106">
      <c r="A106" t="inlineStr" s="17">
        <is>
          <t xml:space="preserve">Cached data cost per check · Cost per check · NS check costs · by NS customer channel · NaukriShield — Upside · NaukriShield — Upside · NaukriShield — Upside</t>
        </is>
      </c>
      <c r="C106" s="9">
        <f>'Pricing and editable planning i'!B9</f>
        <v>1.5</v>
      </c>
    </row>
    <row r="107">
      <c r="A107" t="inlineStr" s="17">
        <is>
          <t xml:space="preserve">Cached data cost per check · Cost per check · NS check costs · by NS customer channel · NaukriShield — Downside · NaukriShield — Downside · NaukriShield — Downside</t>
        </is>
      </c>
      <c r="C107" s="9">
        <f>'Pricing and editable planning i'!B9</f>
        <v>1.5</v>
      </c>
    </row>
    <row r="108">
      <c r="A108" t="inlineStr" s="17">
        <is>
          <t xml:space="preserve">Checks per cafe per month · NS checks · NS operating profit · NaukriShield — Upside · NaukriShield — Upside · NaukriShield — Upside</t>
        </is>
      </c>
      <c r="C108" s="10">
        <f>20</f>
        <v>20</v>
      </c>
    </row>
    <row r="109">
      <c r="A109" t="inlineStr" s="17">
        <is>
          <t xml:space="preserve">Checks per cafe per month · NS checks · NS operating profit · NaukriShield — Downside · NaukriShield — Downside · NaukriShield — Downside</t>
        </is>
      </c>
      <c r="C109" s="10">
        <f>'Pricing and editable planning i'!B13</f>
        <v>10</v>
      </c>
    </row>
    <row r="110">
      <c r="A110" t="inlineStr" s="17">
        <is>
          <t xml:space="preserve">Checks per free student per month · NS checks · NS operating profit · NaukriShield — Upside · NaukriShield — Upside · NaukriShield — Upside</t>
        </is>
      </c>
      <c r="C110" s="10">
        <f>'Pricing and editable planning i'!B15</f>
        <v>3</v>
      </c>
    </row>
    <row r="111">
      <c r="A111" t="inlineStr" s="17">
        <is>
          <t xml:space="preserve">Checks per free student per month · NS checks · NS operating profit · NaukriShield — Downside · NaukriShield — Downside · NaukriShield — Downside</t>
        </is>
      </c>
      <c r="C111" s="10">
        <f>'Pricing and editable planning i'!B15</f>
        <v>3</v>
      </c>
    </row>
    <row r="112">
      <c r="A112" t="inlineStr" s="17">
        <is>
          <t xml:space="preserve">Haiku cost per check · Cost per check · NS check costs · by NS customer channel · NaukriShield — Upside · NaukriShield — Upside · NaukriShield — Upside</t>
        </is>
      </c>
      <c r="C112" s="9">
        <f>'Pricing and editable planning i'!B8</f>
        <v>0.75</v>
      </c>
    </row>
    <row r="113">
      <c r="A113" t="inlineStr" s="17">
        <is>
          <t xml:space="preserve">Haiku cost per check · Cost per check · NS check costs · by NS customer channel · NaukriShield — Downside · NaukriShield — Downside · NaukriShield — Downside</t>
        </is>
      </c>
      <c r="C113" s="9">
        <f>'Pricing and editable planning i'!B8</f>
        <v>0.75</v>
      </c>
    </row>
    <row r="114">
      <c r="A114" t="inlineStr" s="17">
        <is>
          <t xml:space="preserve">Student monthly free allowance · NS checks · NS operating profit · NaukriShield — Upside · NaukriShield — Upside · NaukriShield — Upside</t>
        </is>
      </c>
      <c r="C114" s="10">
        <f>'Pricing and editable planning i'!B5</f>
        <v>3</v>
      </c>
    </row>
    <row r="115">
      <c r="A115" t="inlineStr" s="17">
        <is>
          <t xml:space="preserve">Student monthly free allowance · NS checks · NS operating profit · NaukriShield — Downside · NaukriShield — Downside · NaukriShield — Downside</t>
        </is>
      </c>
      <c r="C115" s="10">
        <f>'Pricing and editable planning i'!B5</f>
        <v>3</v>
      </c>
    </row>
    <row r="117">
      <c r="A117" t="inlineStr" s="16">
        <is>
          <t xml:space="preserve">Dimensions</t>
        </is>
      </c>
    </row>
    <row r="118">
      <c r="A118" t="inlineStr" s="17">
        <is>
          <t xml:space="preserve">NS customer channel</t>
        </is>
      </c>
      <c r="B118" t="inlineStr" s="19">
        <is>
          <t xml:space="preserve">API</t>
        </is>
      </c>
      <c r="C118" t="inlineStr" s="19">
        <is>
          <t xml:space="preserve">Cyber-cafes</t>
        </is>
      </c>
      <c r="D118" t="inlineStr" s="19">
        <is>
          <t xml:space="preserve">Students</t>
        </is>
      </c>
    </row>
  </sheetData>
  <mergeCells count="2">
    <mergeCell ref="A1:AA1"/>
    <mergeCell ref="A2:AA2"/>
  </mergeCells>
</worksheet>
</file>